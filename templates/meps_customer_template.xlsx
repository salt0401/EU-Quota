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F:\Jon\Tariffs research &amp; Monthly Quota Update\Monthly Quota Spreadsheets\"/>
    </mc:Choice>
  </mc:AlternateContent>
  <xr:revisionPtr revIDLastSave="8" documentId="13_ncr:1_{F7A99FF5-1E93-4954-9EEF-9B6E7BC9DD0D}" xr6:coauthVersionLast="47" xr6:coauthVersionMax="47" xr10:uidLastSave="{9D95B1CF-89C4-4159-A42D-0BC87956A48E}"/>
  <bookViews>
    <workbookView xWindow="-28910" yWindow="-110" windowWidth="29020" windowHeight="15700" activeTab="1" xr2:uid="{00000000-000D-0000-FFFF-FFFF00000000}"/>
  </bookViews>
  <sheets>
    <sheet name="Instructions" sheetId="3" r:id="rId1"/>
    <sheet name="European Union" sheetId="5" r:id="rId2"/>
    <sheet name="United Kingdom" sheetId="4" r:id="rId3"/>
  </sheets>
  <definedNames>
    <definedName name="Slicer_Country1">#N/A</definedName>
    <definedName name="Slicer_Country3">#N/A</definedName>
    <definedName name="Slicer_Quota_Category2">#N/A</definedName>
    <definedName name="Slicer_Quota_Category3">#N/A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3" l="1"/>
  <c r="A7" i="3"/>
  <c r="A23" i="3" l="1"/>
  <c r="A22" i="3"/>
</calcChain>
</file>

<file path=xl/sharedStrings.xml><?xml version="1.0" encoding="utf-8"?>
<sst xmlns="http://schemas.openxmlformats.org/spreadsheetml/2006/main" count="573" uniqueCount="128">
  <si>
    <t>MEPS Quota Update - December 2025</t>
  </si>
  <si>
    <t>This spreadsheet contains data for the safeguard systems for both the European Union and the United Kingdom.</t>
  </si>
  <si>
    <t>For ease of use the data has been split into separate tabs for each region/nation.</t>
  </si>
  <si>
    <t>European Union - Tariff Rate Quotas</t>
  </si>
  <si>
    <t>Notes on the source data</t>
  </si>
  <si>
    <t>The European Union tab includes data on imports of finished steel products into the European Union.</t>
  </si>
  <si>
    <t>Imports are assigned to one of 29 different product categories.</t>
  </si>
  <si>
    <t>Quotas are administered quarterly on a first-come first-serve basis.</t>
  </si>
  <si>
    <t>Many of the largest nations will receive a country specific quota, with tonnage allowances based on historical import volumes.</t>
  </si>
  <si>
    <t>Unused quota tonnages are rolled over to the following quarter.</t>
  </si>
  <si>
    <t>Where a nation does not receive a country specific quota their imports are counted in the "Other countries" category.</t>
  </si>
  <si>
    <t>If a nation receiving a country specific quota completely uses its allowance throughout the year it may use the "Other countries" allowance in the April - June period.</t>
  </si>
  <si>
    <t>From October 7 2022 an annual quota applies to imports of slab and billet from Russia. All other semi-finished material has been banned.</t>
  </si>
  <si>
    <t>Source: EU Tariff quota consultation</t>
  </si>
  <si>
    <t>United Kingdom - Tariff Rate Quotas</t>
  </si>
  <si>
    <t>The United Kingdom tab includes data on imports of finished steel products into the United Kingdom.</t>
  </si>
  <si>
    <t>Imports are assigned to one of 17 different product categories.</t>
  </si>
  <si>
    <t>Where a nation does not receive a country specific quota their imports are counted in the "All others" category.</t>
  </si>
  <si>
    <t>If a nation receiving a country specific quota completely uses its allowance throughout the year it may use the "All others" allowance in the April - June period.</t>
  </si>
  <si>
    <t>Figures are update daily, with the latest available data correct as at the end of the previous working day.</t>
  </si>
  <si>
    <t>Source: UK Integrated Online Tariff</t>
  </si>
  <si>
    <t>Instructions for sorting the data</t>
  </si>
  <si>
    <t>Clicking the bars in the slicers at the top of the table will filter the data by Quota Category, Country or Quota Allowance Granted.</t>
  </si>
  <si>
    <t>Slicer filters can be applied separately, combined or cleared.</t>
  </si>
  <si>
    <t>Select multiple categories by holding down the Ctrl key or clicking on the multiple selection symbol in the top right of the slicer box.</t>
  </si>
  <si>
    <t>Use Clear Filters in the top right of the slicer box to remove applied filters.</t>
  </si>
  <si>
    <t>Use the drop down menus in the table headers to organise and sort the data.</t>
  </si>
  <si>
    <t>MEPS European Union Quota Update</t>
  </si>
  <si>
    <t>Current quota period: 01-Oct-2025 to 30-Dec-2025</t>
  </si>
  <si>
    <t>Latest available data: 12-Dec-2025</t>
  </si>
  <si>
    <t>Following the introduction of individual country caps under the EU import safeguard measures for nations covered by the "other countries" quota, MEPS now provides a detailed breakdown of the relevant quota allocations across affected product categories.
Nations granted an order number within an "other countries" quota are marked with an *. The figure in the “Quota Limit (Tonnes)” column shows these nations' maximum allocation of the “other countries” quota. This is operated on a first-come, first-serve basis. If the quota limit is reached before their allocation is used, then the 25% above-quota tariff may be applied. Please note that this is not an exhaustive list of the nations which fall within the “other countries” quota.
The European Commission has adjusted steel safeguard measures for Category "Angles, shapes, and sections of iron or non-alloy steel". The change, implemented on August 1, includes the reintroduction of country-specific quotas for South Korea, Turkey and the United Kingdom.
For other countries importing under the residual quota, the usage cap will rise from 15% to 40%.</t>
  </si>
  <si>
    <t>Quota Category</t>
  </si>
  <si>
    <t>Country</t>
  </si>
  <si>
    <t>Quota Limit (Tonnes)</t>
  </si>
  <si>
    <t>Quota Allocated (Tonnes)</t>
  </si>
  <si>
    <t>% Quota Allocated</t>
  </si>
  <si>
    <t>Balance Remaining (Tonnes)</t>
  </si>
  <si>
    <t>% Balance Remaining</t>
  </si>
  <si>
    <t>Non Alloy and Other Alloy Hot Rolled Sheets and Strips - 1a</t>
  </si>
  <si>
    <t>Türkiye</t>
  </si>
  <si>
    <t>India</t>
  </si>
  <si>
    <t>Korea, Republic of</t>
  </si>
  <si>
    <t>United Kingdom</t>
  </si>
  <si>
    <t>Serbia</t>
  </si>
  <si>
    <t>Other countries</t>
  </si>
  <si>
    <t>Egypt*</t>
  </si>
  <si>
    <t>Vietnam*</t>
  </si>
  <si>
    <t>Japan*</t>
  </si>
  <si>
    <t>Taiwan*</t>
  </si>
  <si>
    <t>Australia*</t>
  </si>
  <si>
    <t>Switzerland*</t>
  </si>
  <si>
    <t>United States*</t>
  </si>
  <si>
    <t>Libya*</t>
  </si>
  <si>
    <t>Canada*</t>
  </si>
  <si>
    <t>Algeria*</t>
  </si>
  <si>
    <t>Non Alloy and Other Alloy Hot Rolled Sheets and Strips - 1b</t>
  </si>
  <si>
    <t>Japan</t>
  </si>
  <si>
    <t>United States</t>
  </si>
  <si>
    <t>Non Alloy and Other Alloy Cold Rolled Sheets</t>
  </si>
  <si>
    <t>Türkiye*</t>
  </si>
  <si>
    <t>Electrical Sheets (other than GOES) - 3a</t>
  </si>
  <si>
    <t>Iran, Islamic Republic of</t>
  </si>
  <si>
    <t>Electrical Sheets (other than GOES) - 3b</t>
  </si>
  <si>
    <t>China</t>
  </si>
  <si>
    <t>Taiwan</t>
  </si>
  <si>
    <t>Metallic Coated Sheets - 4a</t>
  </si>
  <si>
    <t>Tunisia*</t>
  </si>
  <si>
    <t>Metallic Coated Sheets - 4b</t>
  </si>
  <si>
    <t>Organic Coated Sheets</t>
  </si>
  <si>
    <t>Tin Mill products</t>
  </si>
  <si>
    <t>India*</t>
  </si>
  <si>
    <t>Non Alloy and Other Alloy Quarto Plates</t>
  </si>
  <si>
    <t>Indonesia*</t>
  </si>
  <si>
    <t>Korea, Republic of*</t>
  </si>
  <si>
    <t>Stainless Hot Rolled Sheets and Strips</t>
  </si>
  <si>
    <t>Stainless Cold Rolled Sheets and Strips</t>
  </si>
  <si>
    <t>South Africa</t>
  </si>
  <si>
    <t>Stainless Hot Rolled Quarto Plates</t>
  </si>
  <si>
    <t>Non Alloy and Other Alloy Merchant Bars and Light Sections</t>
  </si>
  <si>
    <t>Switzerland</t>
  </si>
  <si>
    <t>Rebars</t>
  </si>
  <si>
    <t>Bosnia and Herzegovina</t>
  </si>
  <si>
    <t>Moldova, Republic of</t>
  </si>
  <si>
    <t>China*</t>
  </si>
  <si>
    <t>Stainless Bars and Light Sections</t>
  </si>
  <si>
    <t>Stainless Wire Rod</t>
  </si>
  <si>
    <t>Non Alloy and Other Alloy Wire Rod</t>
  </si>
  <si>
    <t>Malaysia*</t>
  </si>
  <si>
    <t>Bosnia and Herzegovina*</t>
  </si>
  <si>
    <t>Serbia*</t>
  </si>
  <si>
    <t>Angles, Shapes and Sections of Iron or Non Alloy Steel</t>
  </si>
  <si>
    <t>United Arab Emirates*</t>
  </si>
  <si>
    <t>Sheet Piling</t>
  </si>
  <si>
    <t>United Arab Emirates</t>
  </si>
  <si>
    <t>Railway Material</t>
  </si>
  <si>
    <t>Gas pipes</t>
  </si>
  <si>
    <t>North Macedonia</t>
  </si>
  <si>
    <t>Hollow sections</t>
  </si>
  <si>
    <t>Seamless Stainless Tubes and Pipes</t>
  </si>
  <si>
    <t>Other Seamless Tubes</t>
  </si>
  <si>
    <t>Large welded tubes</t>
  </si>
  <si>
    <t>Large welded tubes: others</t>
  </si>
  <si>
    <t>Other Welded Pipes</t>
  </si>
  <si>
    <t>Non-alloy and other alloy cold finished bars</t>
  </si>
  <si>
    <t>Non Alloy Wire</t>
  </si>
  <si>
    <t>Slab</t>
  </si>
  <si>
    <t>Russia</t>
  </si>
  <si>
    <t>MEPS United Kingdom Quota Update</t>
  </si>
  <si>
    <t xml:space="preserve">Following the introduction of individual country caps under the UK import safeguard measures for nations covered by the "other countries" quota, MEPS now provides a detailed breakdown of the relevant quota allocations across affected product categories.
Nations granted an order number within an "other countries" quota are marked with an *. The figure in the “Quota Limit (Tonnes)” column shows these nations' maximum allocation of the “other countries” quota. This is operated on a first-come, first-serve basis. If the quota limit is reached before their allocation is used, then the 25% above-quota tariff may be applied. Please note that this is not an exhaustive list of the nations which fall within the “other countries” quota.
HMRC temporarily paused the allocation of import quotas for certain countries covered by the individual country cap within the "All others" quota with clearances suspended until August 1, 2025. The numbers in the spreadsheet are those published by the HMRC.
</t>
  </si>
  <si>
    <t>Non-alloy and other alloy hot-rolled sheet and strip 1A</t>
  </si>
  <si>
    <t>European Union</t>
  </si>
  <si>
    <t>Turkey</t>
  </si>
  <si>
    <t>All others</t>
  </si>
  <si>
    <t>Non-alloy and other alloy hot-rolled sheet and strip 1B</t>
  </si>
  <si>
    <t>Metallic coated sheet</t>
  </si>
  <si>
    <t>South Korea*</t>
  </si>
  <si>
    <t>Singapore*</t>
  </si>
  <si>
    <t>Organic coated sheet</t>
  </si>
  <si>
    <t>Republic of Korea</t>
  </si>
  <si>
    <t>Non-alloy and Other Alloy Quarto Plates</t>
  </si>
  <si>
    <t>Alloy merchant bars and light sections</t>
  </si>
  <si>
    <t>Non-alloy merchant bars and light sections</t>
  </si>
  <si>
    <t>New Zealand*</t>
  </si>
  <si>
    <t>Norway*</t>
  </si>
  <si>
    <t>Non-alloy and Other Alloy Wire Rod</t>
  </si>
  <si>
    <t>Angles, Shapes and Sections of Iron or Non-alloy Steel</t>
  </si>
  <si>
    <t>Large welded tubes - 25A</t>
  </si>
  <si>
    <t>Large welded tubes - 25B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</si>
</sst>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16">
    <font>
      <sz val="11"/>
      <color theme="1"/>
      <name val="Calibri"/>
      <family val="2"/>
      <scheme val="minor"/>
    </font>
    <font>
      <sz val="11"/>
      <color theme="1"/>
      <name val="Calibri"/>
      <family val="2"/>
      <scheme val="minor"/>
    </font>
    <font>
      <sz val="11"/>
      <color theme="0"/>
      <name val="Kalinga"/>
      <family val="2"/>
    </font>
    <font>
      <sz val="11"/>
      <color theme="1"/>
      <name val="Kalinga"/>
      <family val="2"/>
    </font>
    <font>
      <sz val="16"/>
      <color theme="0"/>
      <name val="Kalinga"/>
      <family val="2"/>
    </font>
    <font>
      <b/>
      <sz val="16"/>
      <color theme="0"/>
      <name val="Kalinga"/>
      <family val="2"/>
    </font>
    <font>
      <sz val="12"/>
      <color theme="0"/>
      <name val="Kalinga"/>
      <family val="2"/>
    </font>
    <font>
      <b/>
      <sz val="26"/>
      <color theme="0"/>
      <name val="Kalinga"/>
      <family val="2"/>
    </font>
    <font>
      <u/>
      <sz val="11"/>
      <color theme="10"/>
      <name val="Calibri"/>
      <family val="2"/>
      <scheme val="minor"/>
    </font>
    <font>
      <u/>
      <sz val="11"/>
      <color theme="0"/>
      <name val="Kalinga"/>
      <family val="2"/>
    </font>
    <font>
      <sz val="26"/>
      <color theme="0"/>
      <name val="Kalinga"/>
      <family val="2"/>
    </font>
    <font>
      <sz val="12"/>
      <color theme="1"/>
      <name val="Kalinga"/>
      <family val="2"/>
    </font>
    <font>
      <b/>
      <sz val="11"/>
      <color theme="1"/>
      <name val="Segoe UI"/>
      <family val="2"/>
    </font>
    <font>
      <b/>
      <sz val="11"/>
      <color theme="0"/>
      <name val="Segoe UI"/>
      <family val="2"/>
    </font>
    <font>
      <sz val="11"/>
      <color theme="1"/>
      <name val="Segoe UI"/>
      <family val="2"/>
    </font>
    <font>
      <sz val="10"/>
      <color theme="1"/>
      <name val="Kalinga"/>
      <family val="2"/>
    </font>
  </fonts>
  <fills count="4">
    <fill>
      <patternFill patternType="none"/>
    </fill>
    <fill>
      <patternFill patternType="gray125"/>
    </fill>
    <fill>
      <patternFill patternType="solid">
        <fgColor theme="0"/>
        <bgColor indexed="64"/>
      </patternFill>
    </fill>
    <fill>
      <patternFill patternType="solid">
        <fgColor rgb="FF16477C"/>
        <bgColor indexed="64"/>
      </patternFill>
    </fill>
  </fills>
  <borders count="2">
    <border>
      <left/>
      <right/>
      <top/>
      <bottom/>
      <diagonal/>
    </border>
    <border>
      <left/>
      <right/>
      <top style="thin">
        <color theme="4" tint="0.39997558519241921"/>
      </top>
      <bottom style="thin">
        <color theme="4" tint="0.39997558519241921"/>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28">
    <xf numFmtId="0" fontId="0" fillId="0" borderId="0" xfId="0"/>
    <xf numFmtId="0" fontId="3" fillId="2" borderId="0" xfId="0" applyFont="1" applyFill="1"/>
    <xf numFmtId="0" fontId="6" fillId="2" borderId="0" xfId="0" applyFont="1" applyFill="1"/>
    <xf numFmtId="0" fontId="4" fillId="2" borderId="0" xfId="0" applyFont="1" applyFill="1"/>
    <xf numFmtId="0" fontId="5" fillId="3" borderId="0" xfId="0" applyFont="1" applyFill="1"/>
    <xf numFmtId="0" fontId="3" fillId="3" borderId="0" xfId="0" applyFont="1" applyFill="1"/>
    <xf numFmtId="0" fontId="6" fillId="3" borderId="0" xfId="0" applyFont="1" applyFill="1"/>
    <xf numFmtId="0" fontId="4" fillId="3" borderId="0" xfId="0" applyFont="1" applyFill="1"/>
    <xf numFmtId="0" fontId="10" fillId="3" borderId="0" xfId="0" applyFont="1" applyFill="1"/>
    <xf numFmtId="0" fontId="2" fillId="3" borderId="0" xfId="0" applyFont="1" applyFill="1"/>
    <xf numFmtId="0" fontId="9" fillId="3" borderId="0" xfId="0" applyFont="1" applyFill="1"/>
    <xf numFmtId="0" fontId="9" fillId="3" borderId="0" xfId="3" applyFont="1" applyFill="1"/>
    <xf numFmtId="0" fontId="11" fillId="2" borderId="0" xfId="0" applyFont="1" applyFill="1"/>
    <xf numFmtId="0" fontId="13" fillId="3" borderId="1" xfId="0" applyFont="1" applyFill="1" applyBorder="1" applyAlignment="1" applyProtection="1">
      <alignment horizontal="left" wrapText="1"/>
      <protection locked="0"/>
    </xf>
    <xf numFmtId="0" fontId="14" fillId="0" borderId="0" xfId="0" applyFont="1" applyAlignment="1" applyProtection="1">
      <alignment horizontal="left"/>
      <protection locked="0"/>
    </xf>
    <xf numFmtId="9" fontId="14" fillId="0" borderId="0" xfId="2" applyFont="1" applyFill="1" applyAlignment="1" applyProtection="1">
      <alignment horizontal="right"/>
      <protection locked="0"/>
    </xf>
    <xf numFmtId="165" fontId="14" fillId="0" borderId="0" xfId="1" applyNumberFormat="1" applyFont="1" applyFill="1" applyAlignment="1" applyProtection="1">
      <alignment horizontal="right"/>
      <protection locked="0"/>
    </xf>
    <xf numFmtId="0" fontId="12" fillId="3" borderId="0" xfId="0" applyFont="1" applyFill="1" applyAlignment="1" applyProtection="1">
      <alignment horizontal="left" vertical="center" wrapText="1"/>
      <protection locked="0"/>
    </xf>
    <xf numFmtId="0" fontId="12" fillId="3" borderId="0" xfId="0" applyFont="1" applyFill="1" applyAlignment="1" applyProtection="1">
      <alignment horizontal="right" vertical="center" wrapText="1"/>
      <protection locked="0"/>
    </xf>
    <xf numFmtId="0" fontId="14" fillId="3" borderId="0" xfId="0" applyFont="1" applyFill="1" applyAlignment="1" applyProtection="1">
      <alignment horizontal="left" vertical="center" wrapText="1"/>
      <protection locked="0"/>
    </xf>
    <xf numFmtId="0" fontId="14" fillId="3" borderId="0" xfId="0" applyFont="1" applyFill="1" applyAlignment="1" applyProtection="1">
      <alignment horizontal="right" vertical="center" wrapText="1"/>
      <protection locked="0"/>
    </xf>
    <xf numFmtId="0" fontId="14" fillId="0" borderId="0" xfId="0" applyFont="1" applyProtection="1">
      <protection locked="0"/>
    </xf>
    <xf numFmtId="3" fontId="14" fillId="0" borderId="0" xfId="1" applyNumberFormat="1" applyFont="1" applyFill="1" applyAlignment="1" applyProtection="1">
      <alignment horizontal="right"/>
      <protection locked="0"/>
    </xf>
    <xf numFmtId="165" fontId="14" fillId="0" borderId="0" xfId="1" applyNumberFormat="1" applyFont="1" applyFill="1" applyProtection="1">
      <protection locked="0"/>
    </xf>
    <xf numFmtId="9" fontId="14" fillId="0" borderId="0" xfId="2" applyFont="1" applyFill="1" applyProtection="1">
      <protection locked="0"/>
    </xf>
    <xf numFmtId="0" fontId="7" fillId="3" borderId="0" xfId="0" applyFont="1" applyFill="1"/>
    <xf numFmtId="0" fontId="3" fillId="2" borderId="0" xfId="0" applyFont="1" applyFill="1" applyAlignment="1">
      <alignment horizontal="left" vertical="center" wrapText="1"/>
    </xf>
    <xf numFmtId="0" fontId="15" fillId="2" borderId="0" xfId="0" applyFont="1" applyFill="1" applyAlignment="1">
      <alignment horizontal="left" vertical="center" wrapText="1"/>
    </xf>
  </cellXfs>
  <cellStyles count="4">
    <cellStyle name="一般" xfId="0" builtinId="0"/>
    <cellStyle name="千分位" xfId="1" builtinId="3"/>
    <cellStyle name="百分比" xfId="2" builtinId="5"/>
    <cellStyle name="超連結" xfId="3" builtinId="8"/>
  </cellStyles>
  <dxfs count="18">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center" vertical="bottom" textRotation="0" wrapText="0" indent="0" justifyLastLine="0" shrinkToFit="0" readingOrder="0"/>
      <protection locked="0" hidden="0"/>
    </dxf>
    <dxf>
      <font>
        <b/>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65" formatCode="_-* #,##0_-;\-* #,##0_-;_-* &quot;-&quot;??_-;_-@_-"/>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right" vertical="center" textRotation="0" wrapText="1" indent="0" justifyLastLine="0" shrinkToFit="0" readingOrder="0"/>
      <protection locked="0" hidden="0"/>
    </dxf>
  </dxfs>
  <tableStyles count="0" defaultTableStyle="TableStyleMedium2" defaultPivotStyle="PivotStyleLight16"/>
  <colors>
    <mruColors>
      <color rgb="FF16477C"/>
      <color rgb="FF355F89"/>
      <color rgb="FF005091"/>
      <color rgb="FF509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107157</xdr:colOff>
      <xdr:row>0</xdr:row>
      <xdr:rowOff>357187</xdr:rowOff>
    </xdr:from>
    <xdr:to>
      <xdr:col>5</xdr:col>
      <xdr:colOff>1425292</xdr:colOff>
      <xdr:row>2</xdr:row>
      <xdr:rowOff>202404</xdr:rowOff>
    </xdr:to>
    <xdr:pic>
      <xdr:nvPicPr>
        <xdr:cNvPr id="2" name="Picture 1">
          <a:extLst>
            <a:ext uri="{FF2B5EF4-FFF2-40B4-BE49-F238E27FC236}">
              <a16:creationId xmlns:a16="http://schemas.microsoft.com/office/drawing/2014/main" id="{7DBF2BEC-7C0E-42D9-BDCB-2426AFA1BF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8207" y="357187"/>
          <a:ext cx="3808923" cy="791367"/>
        </a:xfrm>
        <a:prstGeom prst="rect">
          <a:avLst/>
        </a:prstGeom>
      </xdr:spPr>
    </xdr:pic>
    <xdr:clientData/>
  </xdr:twoCellAnchor>
  <xdr:absoluteAnchor>
    <xdr:pos x="0" y="1932111"/>
    <xdr:ext cx="3960000" cy="2559600"/>
    <mc:AlternateContent xmlns:mc="http://schemas.openxmlformats.org/markup-compatibility/2006" xmlns:sle15="http://schemas.microsoft.com/office/drawing/2012/slicer">
      <mc:Choice Requires="sle15">
        <xdr:graphicFrame macro="">
          <xdr:nvGraphicFramePr>
            <xdr:cNvPr id="3" name="Quota Category 3">
              <a:extLst>
                <a:ext uri="{FF2B5EF4-FFF2-40B4-BE49-F238E27FC236}">
                  <a16:creationId xmlns:a16="http://schemas.microsoft.com/office/drawing/2014/main" id="{46C10FDA-6736-4E76-B8CC-E8C78513998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3"/>
            </a:graphicData>
          </a:graphic>
        </xdr:graphicFrame>
      </mc:Choice>
      <mc:Fallback xmlns="">
        <xdr:sp macro="" textlink="">
          <xdr:nvSpPr>
            <xdr:cNvPr id="0" name=""/>
            <xdr:cNvSpPr>
              <a:spLocks noTextEdit="1"/>
            </xdr:cNvSpPr>
          </xdr:nvSpPr>
          <xdr:spPr>
            <a:xfrm>
              <a:off x="0" y="1932111"/>
              <a:ext cx="3960000"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absoluteAnchor>
    <xdr:pos x="3996000" y="1932111"/>
    <xdr:ext cx="4304563" cy="2559600"/>
    <mc:AlternateContent xmlns:mc="http://schemas.openxmlformats.org/markup-compatibility/2006" xmlns:sle15="http://schemas.microsoft.com/office/drawing/2012/slicer">
      <mc:Choice Requires="sle15">
        <xdr:graphicFrame macro="">
          <xdr:nvGraphicFramePr>
            <xdr:cNvPr id="4" name="Country 3">
              <a:extLst>
                <a:ext uri="{FF2B5EF4-FFF2-40B4-BE49-F238E27FC236}">
                  <a16:creationId xmlns:a16="http://schemas.microsoft.com/office/drawing/2014/main" id="{81308A77-47A4-4F6A-B3B5-F9B94F63AF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3996000" y="1932111"/>
              <a:ext cx="4304563"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5</xdr:row>
      <xdr:rowOff>122362</xdr:rowOff>
    </xdr:from>
    <xdr:to>
      <xdr:col>1</xdr:col>
      <xdr:colOff>51312</xdr:colOff>
      <xdr:row>13</xdr:row>
      <xdr:rowOff>201862</xdr:rowOff>
    </xdr:to>
    <mc:AlternateContent xmlns:mc="http://schemas.openxmlformats.org/markup-compatibility/2006" xmlns:sle15="http://schemas.microsoft.com/office/drawing/2012/slicer">
      <mc:Choice Requires="sle15">
        <xdr:graphicFrame macro="">
          <xdr:nvGraphicFramePr>
            <xdr:cNvPr id="4" name="Quota Category 2">
              <a:extLst>
                <a:ext uri="{FF2B5EF4-FFF2-40B4-BE49-F238E27FC236}">
                  <a16:creationId xmlns:a16="http://schemas.microsoft.com/office/drawing/2014/main" id="{E74CE4A4-D94E-4E0C-A92A-B36E15D4F6F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2"/>
            </a:graphicData>
          </a:graphic>
        </xdr:graphicFrame>
      </mc:Choice>
      <mc:Fallback xmlns="">
        <xdr:sp macro="" textlink="">
          <xdr:nvSpPr>
            <xdr:cNvPr id="0" name=""/>
            <xdr:cNvSpPr>
              <a:spLocks noTextEdit="1"/>
            </xdr:cNvSpPr>
          </xdr:nvSpPr>
          <xdr:spPr>
            <a:xfrm>
              <a:off x="0" y="1876550"/>
              <a:ext cx="4536000" cy="2492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xdr:col>
      <xdr:colOff>123312</xdr:colOff>
      <xdr:row>7</xdr:row>
      <xdr:rowOff>198562</xdr:rowOff>
    </xdr:from>
    <xdr:to>
      <xdr:col>3</xdr:col>
      <xdr:colOff>1129437</xdr:colOff>
      <xdr:row>13</xdr:row>
      <xdr:rowOff>188812</xdr:rowOff>
    </xdr:to>
    <mc:AlternateContent xmlns:mc="http://schemas.openxmlformats.org/markup-compatibility/2006" xmlns:sle15="http://schemas.microsoft.com/office/drawing/2012/slicer">
      <mc:Choice Requires="sle15">
        <xdr:graphicFrame macro="">
          <xdr:nvGraphicFramePr>
            <xdr:cNvPr id="5" name="Country 1">
              <a:extLst>
                <a:ext uri="{FF2B5EF4-FFF2-40B4-BE49-F238E27FC236}">
                  <a16:creationId xmlns:a16="http://schemas.microsoft.com/office/drawing/2014/main" id="{6F8655DB-F5A3-40C3-948A-6C74E1D6EC2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608000" y="2556000"/>
              <a:ext cx="3816000" cy="1800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oneCell">
    <xdr:from>
      <xdr:col>4</xdr:col>
      <xdr:colOff>94740</xdr:colOff>
      <xdr:row>0</xdr:row>
      <xdr:rowOff>381002</xdr:rowOff>
    </xdr:from>
    <xdr:to>
      <xdr:col>5</xdr:col>
      <xdr:colOff>1381125</xdr:colOff>
      <xdr:row>2</xdr:row>
      <xdr:rowOff>226219</xdr:rowOff>
    </xdr:to>
    <xdr:pic>
      <xdr:nvPicPr>
        <xdr:cNvPr id="6" name="Picture 5">
          <a:extLst>
            <a:ext uri="{FF2B5EF4-FFF2-40B4-BE49-F238E27FC236}">
              <a16:creationId xmlns:a16="http://schemas.microsoft.com/office/drawing/2014/main" id="{D7E4FB45-378A-43E2-80EB-D79041D9C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02896" y="381002"/>
          <a:ext cx="3691448" cy="845342"/>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2" xr10:uid="{4A28DCE5-0A61-46ED-A943-8221CD8ED8B0}" sourceName="Quota Category">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82FDAD4C-CB3B-4AFD-A636-35440F6FE28F}" sourceName="Country">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3" xr10:uid="{7710A4AF-9F2E-4C27-9E7A-A9CE8096E161}" sourceName="Country">
  <extLst>
    <x:ext xmlns:x15="http://schemas.microsoft.com/office/spreadsheetml/2010/11/main" uri="{2F2917AC-EB37-4324-AD4E-5DD8C200BD13}">
      <x15:tableSlicerCache tableId="3"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3" xr10:uid="{3792DB78-F21F-45B7-B35E-B2F778EE080C}" sourceName="Quota Category">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7A788192-3522-4867-872D-44B108525FD4}" cache="Slicer_Country3" caption="Country" columnCount="2" lockedPosition="1" rowHeight="241300"/>
  <slicer name="Quota Category 3" xr10:uid="{7CFFB0E5-CAE1-4D1E-8EC2-5C78177419C7}" cache="Slicer_Quota_Category3" caption="Quota Category"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ota Category 2" xr10:uid="{E4D11397-63BF-4D64-9576-908B0C10C881}" cache="Slicer_Quota_Category2" caption="Quota Category" lockedPosition="1" rowHeight="241300"/>
  <slicer name="Country 1" xr10:uid="{CFF1286F-3307-4763-B90F-1893FBE8F594}" cache="Slicer_Country1" caption="Country" columnCount="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B843BB-6D4C-413D-9459-234F25C2F640}" name="EU_Quotas4" displayName="EU_Quotas4" ref="A15:G204" totalsRowShown="0" headerRowDxfId="17" dataDxfId="16">
  <autoFilter ref="A15:G204" xr:uid="{E868E768-6237-458A-90D6-C15D3AA0A2D9}">
    <filterColumn colId="0">
      <filters>
        <filter val="Electrical Sheets (other than GOES) - 3a"/>
      </filters>
    </filterColumn>
    <filterColumn colId="1">
      <filters>
        <filter val="Iran, Islamic Republic of"/>
      </filters>
    </filterColumn>
  </autoFilter>
  <tableColumns count="7">
    <tableColumn id="1" xr3:uid="{B473FDE6-67DB-44AB-82D0-62A9576B1E19}" name="Quota Category" dataDxfId="15"/>
    <tableColumn id="2" xr3:uid="{99A5909C-6233-411A-8FED-2CA191C65C68}" name="Country" dataDxfId="14"/>
    <tableColumn id="3" xr3:uid="{F0817EF7-4EA4-4275-B6B4-57BB22A472C3}" name="Quota Limit (Tonnes)" dataDxfId="13"/>
    <tableColumn id="4" xr3:uid="{5186C5C8-9E62-43E1-961D-BD5EB4967960}" name="Quota Allocated (Tonnes)" dataDxfId="12"/>
    <tableColumn id="5" xr3:uid="{0B533B41-DCA5-4AC3-B502-6923DA837AB7}" name="% Quota Allocated" dataDxfId="11"/>
    <tableColumn id="6" xr3:uid="{E20C5404-E7FC-47B8-AE7E-A41F931B160E}" name="Balance Remaining (Tonnes)" dataDxfId="10"/>
    <tableColumn id="7" xr3:uid="{49D51D72-4CCA-420B-99E1-460488D3D686}" name="% Balance Remaining"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D29541-2FD9-4998-81E2-66670B5EA6D8}" name="UK_Quotas" displayName="UK_Quotas" ref="A15:G86" totalsRowShown="0" headerRowDxfId="8" dataDxfId="7">
  <autoFilter ref="A15:G86" xr:uid="{CDD29541-2FD9-4998-81E2-66670B5EA6D8}"/>
  <tableColumns count="7">
    <tableColumn id="1" xr3:uid="{73AD5382-6028-4A06-B754-4F1F86386598}" name="Quota Category" dataDxfId="6"/>
    <tableColumn id="2" xr3:uid="{CDA14869-654B-4E15-866A-ED4EEED1DC11}" name="Country" dataDxfId="5"/>
    <tableColumn id="3" xr3:uid="{734D077B-4370-4B5D-B4FF-D51EB7112FE8}" name="Quota Limit (Tonnes)" dataDxfId="4"/>
    <tableColumn id="4" xr3:uid="{F328712A-9CF1-4A22-9014-212159298A8B}" name="Quota Allocated (Tonnes)" dataDxfId="3"/>
    <tableColumn id="5" xr3:uid="{5A17A7A4-0590-42CD-946D-47E1CEC81316}" name="% Quota Allocated" dataDxfId="2"/>
    <tableColumn id="6" xr3:uid="{9B3E0544-9776-4494-86BE-7025C19168A2}" name="Balance Remaining (Tonnes)" dataDxfId="1"/>
    <tableColumn id="7" xr3:uid="{1B4EC482-2DB2-4FF6-8066-FA94576D4B6E}" name="% Balance Remain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trade-tariff.service.gov.uk/quota_search" TargetMode="External"/><Relationship Id="rId1" Type="http://schemas.openxmlformats.org/officeDocument/2006/relationships/hyperlink" Target="https://ec.europa.eu/taxation_customs/dds2/taric/quota_consultation.jsp"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8C90-BB5B-452D-881C-BF94031F64CE}">
  <dimension ref="A1:H41"/>
  <sheetViews>
    <sheetView zoomScale="80" zoomScaleNormal="80" workbookViewId="0">
      <selection activeCell="A15" sqref="A15"/>
    </sheetView>
  </sheetViews>
  <sheetFormatPr defaultColWidth="8.7109375" defaultRowHeight="16.5"/>
  <cols>
    <col min="1" max="16384" width="8.7109375" style="9"/>
  </cols>
  <sheetData>
    <row r="1" spans="1:8" ht="39">
      <c r="A1" s="8" t="s">
        <v>0</v>
      </c>
    </row>
    <row r="2" spans="1:8">
      <c r="A2" s="9" t="s">
        <v>1</v>
      </c>
    </row>
    <row r="3" spans="1:8">
      <c r="A3" s="9" t="s">
        <v>2</v>
      </c>
    </row>
    <row r="5" spans="1:8">
      <c r="H5" s="11"/>
    </row>
    <row r="6" spans="1:8" ht="39">
      <c r="A6" s="8" t="s">
        <v>3</v>
      </c>
    </row>
    <row r="7" spans="1:8" s="7" customFormat="1" ht="24">
      <c r="A7" s="7" t="str">
        <f>'European Union'!A2</f>
        <v>Current quota period: 01-Oct-2025 to 30-Dec-2025</v>
      </c>
    </row>
    <row r="8" spans="1:8" s="7" customFormat="1" ht="24">
      <c r="A8" s="7" t="str">
        <f>'European Union'!A3</f>
        <v>Latest available data: 12-Dec-2025</v>
      </c>
    </row>
    <row r="9" spans="1:8">
      <c r="A9" s="10" t="s">
        <v>4</v>
      </c>
    </row>
    <row r="10" spans="1:8">
      <c r="A10" s="9" t="s">
        <v>5</v>
      </c>
    </row>
    <row r="11" spans="1:8">
      <c r="A11" s="9" t="s">
        <v>6</v>
      </c>
    </row>
    <row r="12" spans="1:8">
      <c r="A12" s="9" t="s">
        <v>7</v>
      </c>
    </row>
    <row r="13" spans="1:8">
      <c r="A13" s="9" t="s">
        <v>8</v>
      </c>
    </row>
    <row r="14" spans="1:8">
      <c r="A14" s="9" t="s">
        <v>9</v>
      </c>
    </row>
    <row r="15" spans="1:8">
      <c r="A15" s="9" t="s">
        <v>10</v>
      </c>
    </row>
    <row r="16" spans="1:8">
      <c r="A16" s="9" t="s">
        <v>11</v>
      </c>
    </row>
    <row r="17" spans="1:1">
      <c r="A17" s="9" t="s">
        <v>12</v>
      </c>
    </row>
    <row r="18" spans="1:1">
      <c r="A18" s="11" t="s">
        <v>13</v>
      </c>
    </row>
    <row r="21" spans="1:1" ht="39">
      <c r="A21" s="8" t="s">
        <v>14</v>
      </c>
    </row>
    <row r="22" spans="1:1" s="7" customFormat="1" ht="24">
      <c r="A22" s="7" t="str">
        <f>'United Kingdom'!A2</f>
        <v>Current quota period: 01-Oct-2025 to 30-Dec-2025</v>
      </c>
    </row>
    <row r="23" spans="1:1" s="7" customFormat="1" ht="24">
      <c r="A23" s="7" t="str">
        <f>'United Kingdom'!A3</f>
        <v>Latest available data: 12-Dec-2025</v>
      </c>
    </row>
    <row r="24" spans="1:1">
      <c r="A24" s="10" t="s">
        <v>4</v>
      </c>
    </row>
    <row r="25" spans="1:1">
      <c r="A25" s="9" t="s">
        <v>15</v>
      </c>
    </row>
    <row r="26" spans="1:1">
      <c r="A26" s="9" t="s">
        <v>16</v>
      </c>
    </row>
    <row r="27" spans="1:1">
      <c r="A27" s="9" t="s">
        <v>7</v>
      </c>
    </row>
    <row r="28" spans="1:1">
      <c r="A28" s="9" t="s">
        <v>8</v>
      </c>
    </row>
    <row r="29" spans="1:1">
      <c r="A29" s="9" t="s">
        <v>9</v>
      </c>
    </row>
    <row r="30" spans="1:1">
      <c r="A30" s="9" t="s">
        <v>17</v>
      </c>
    </row>
    <row r="31" spans="1:1">
      <c r="A31" s="9" t="s">
        <v>18</v>
      </c>
    </row>
    <row r="32" spans="1:1">
      <c r="A32" s="9" t="s">
        <v>19</v>
      </c>
    </row>
    <row r="33" spans="1:1">
      <c r="A33" s="11" t="s">
        <v>20</v>
      </c>
    </row>
    <row r="36" spans="1:1" ht="39">
      <c r="A36" s="8" t="s">
        <v>21</v>
      </c>
    </row>
    <row r="37" spans="1:1">
      <c r="A37" s="9" t="s">
        <v>22</v>
      </c>
    </row>
    <row r="38" spans="1:1">
      <c r="A38" s="9" t="s">
        <v>23</v>
      </c>
    </row>
    <row r="39" spans="1:1">
      <c r="A39" s="9" t="s">
        <v>24</v>
      </c>
    </row>
    <row r="40" spans="1:1">
      <c r="A40" s="9" t="s">
        <v>25</v>
      </c>
    </row>
    <row r="41" spans="1:1">
      <c r="A41" s="9" t="s">
        <v>26</v>
      </c>
    </row>
  </sheetData>
  <sheetProtection sheet="1" selectLockedCells="1" selectUnlockedCells="1"/>
  <hyperlinks>
    <hyperlink ref="A18" r:id="rId1" xr:uid="{CE4B733A-8267-455D-8D30-EF18C837069E}"/>
    <hyperlink ref="A33" r:id="rId2" xr:uid="{BBA991DB-9ED0-4A9E-97D7-1AFF7F67F62F}"/>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5755B-B1DA-4C41-B8AC-7AFC3C5D71DF}">
  <dimension ref="A1:G204"/>
  <sheetViews>
    <sheetView tabSelected="1" topLeftCell="A3" zoomScale="80" zoomScaleNormal="80" workbookViewId="0">
      <selection activeCell="A15" sqref="A15"/>
    </sheetView>
  </sheetViews>
  <sheetFormatPr defaultColWidth="9.140625" defaultRowHeight="16.5"/>
  <cols>
    <col min="1" max="1" width="64.140625" style="1" customWidth="1"/>
    <col min="2" max="2" width="39.28515625" style="1" bestFit="1" customWidth="1"/>
    <col min="3" max="3" width="36.140625" style="1" customWidth="1"/>
    <col min="4" max="7" width="35.7109375" style="1" customWidth="1"/>
    <col min="8" max="16384" width="9.140625" style="1"/>
  </cols>
  <sheetData>
    <row r="1" spans="1:7" ht="54.75" customHeight="1">
      <c r="A1" s="25" t="s">
        <v>27</v>
      </c>
      <c r="B1" s="4"/>
      <c r="C1" s="5"/>
      <c r="D1" s="5"/>
      <c r="E1" s="5"/>
      <c r="F1" s="6"/>
      <c r="G1" s="5"/>
    </row>
    <row r="2" spans="1:7" ht="20.100000000000001" customHeight="1">
      <c r="A2" s="7" t="s">
        <v>28</v>
      </c>
      <c r="B2" s="7"/>
      <c r="C2" s="5"/>
      <c r="D2" s="5"/>
      <c r="E2" s="5"/>
      <c r="F2" s="5"/>
      <c r="G2" s="5"/>
    </row>
    <row r="3" spans="1:7" ht="20.100000000000001" customHeight="1">
      <c r="A3" s="7" t="s">
        <v>29</v>
      </c>
      <c r="B3" s="7"/>
      <c r="C3" s="5"/>
      <c r="D3" s="5"/>
      <c r="E3" s="5"/>
      <c r="F3" s="5"/>
      <c r="G3" s="5"/>
    </row>
    <row r="4" spans="1:7" ht="20.100000000000001" customHeight="1">
      <c r="A4" s="6"/>
      <c r="B4" s="7"/>
      <c r="C4" s="5"/>
      <c r="D4" s="5"/>
      <c r="E4" s="5"/>
      <c r="F4" s="5"/>
      <c r="G4" s="5"/>
    </row>
    <row r="5" spans="1:7" ht="24.75" customHeight="1">
      <c r="D5" s="26" t="s">
        <v>30</v>
      </c>
      <c r="E5" s="26"/>
      <c r="F5" s="26"/>
      <c r="G5" s="26"/>
    </row>
    <row r="6" spans="1:7" ht="24.75" customHeight="1">
      <c r="D6" s="26"/>
      <c r="E6" s="26"/>
      <c r="F6" s="26"/>
      <c r="G6" s="26"/>
    </row>
    <row r="7" spans="1:7" ht="24.75" customHeight="1">
      <c r="D7" s="26"/>
      <c r="E7" s="26"/>
      <c r="F7" s="26"/>
      <c r="G7" s="26"/>
    </row>
    <row r="8" spans="1:7" ht="24.75" customHeight="1">
      <c r="D8" s="26"/>
      <c r="E8" s="26"/>
      <c r="F8" s="26"/>
      <c r="G8" s="26"/>
    </row>
    <row r="9" spans="1:7" ht="24.75" customHeight="1">
      <c r="D9" s="26"/>
      <c r="E9" s="26"/>
      <c r="F9" s="26"/>
      <c r="G9" s="26"/>
    </row>
    <row r="10" spans="1:7" ht="24.75" customHeight="1">
      <c r="D10" s="26"/>
      <c r="E10" s="26"/>
      <c r="F10" s="26"/>
      <c r="G10" s="26"/>
    </row>
    <row r="11" spans="1:7" ht="24.75" customHeight="1">
      <c r="D11" s="26"/>
      <c r="E11" s="26"/>
      <c r="F11" s="26"/>
      <c r="G11" s="26"/>
    </row>
    <row r="12" spans="1:7" ht="24.75" customHeight="1">
      <c r="D12" s="26"/>
      <c r="E12" s="26"/>
      <c r="F12" s="26"/>
      <c r="G12" s="26"/>
    </row>
    <row r="13" spans="1:7" ht="24.75" customHeight="1">
      <c r="D13" s="26"/>
      <c r="E13" s="26"/>
      <c r="F13" s="26"/>
      <c r="G13" s="26"/>
    </row>
    <row r="14" spans="1:7" ht="24.75" customHeight="1">
      <c r="D14" s="26"/>
      <c r="E14" s="26"/>
      <c r="F14" s="26"/>
      <c r="G14" s="26"/>
    </row>
    <row r="15" spans="1:7" ht="50.25" customHeight="1">
      <c r="A15" s="19" t="s">
        <v>31</v>
      </c>
      <c r="B15" s="19" t="s">
        <v>32</v>
      </c>
      <c r="C15" s="20" t="s">
        <v>33</v>
      </c>
      <c r="D15" s="20" t="s">
        <v>34</v>
      </c>
      <c r="E15" s="20" t="s">
        <v>35</v>
      </c>
      <c r="F15" s="20" t="s">
        <v>36</v>
      </c>
      <c r="G15" s="20" t="s">
        <v>37</v>
      </c>
    </row>
    <row r="16" spans="1:7" ht="17.45" hidden="1">
      <c r="A16" s="21" t="s">
        <v>38</v>
      </c>
      <c r="B16" s="21" t="s">
        <v>39</v>
      </c>
      <c r="C16" s="16">
        <v>402732.86</v>
      </c>
      <c r="D16" s="22">
        <v>402732.86</v>
      </c>
      <c r="E16" s="15">
        <v>1</v>
      </c>
      <c r="F16" s="22">
        <v>0</v>
      </c>
      <c r="G16" s="15">
        <v>0</v>
      </c>
    </row>
    <row r="17" spans="1:7" ht="17.45" hidden="1">
      <c r="A17" s="21" t="s">
        <v>38</v>
      </c>
      <c r="B17" s="21" t="s">
        <v>40</v>
      </c>
      <c r="C17" s="16">
        <v>227781.67</v>
      </c>
      <c r="D17" s="22">
        <v>227781.67</v>
      </c>
      <c r="E17" s="15">
        <v>1</v>
      </c>
      <c r="F17" s="22">
        <v>0</v>
      </c>
      <c r="G17" s="15">
        <v>0</v>
      </c>
    </row>
    <row r="18" spans="1:7" ht="17.45" hidden="1">
      <c r="A18" s="21" t="s">
        <v>38</v>
      </c>
      <c r="B18" s="21" t="s">
        <v>41</v>
      </c>
      <c r="C18" s="16">
        <v>163077.70000000001</v>
      </c>
      <c r="D18" s="22">
        <v>162642.82569900001</v>
      </c>
      <c r="E18" s="15">
        <v>0.9973333306699812</v>
      </c>
      <c r="F18" s="22">
        <v>434.874301</v>
      </c>
      <c r="G18" s="15">
        <v>2.666669330018758E-3</v>
      </c>
    </row>
    <row r="19" spans="1:7" ht="17.45" hidden="1">
      <c r="A19" s="21" t="s">
        <v>38</v>
      </c>
      <c r="B19" s="21" t="s">
        <v>42</v>
      </c>
      <c r="C19" s="16">
        <v>140943.25</v>
      </c>
      <c r="D19" s="22">
        <v>10319.414055000016</v>
      </c>
      <c r="E19" s="15">
        <v>7.3216802188114882E-2</v>
      </c>
      <c r="F19" s="22">
        <v>130623.83594499998</v>
      </c>
      <c r="G19" s="15">
        <v>0.92678319781188512</v>
      </c>
    </row>
    <row r="20" spans="1:7" ht="17.45" hidden="1">
      <c r="A20" s="21" t="s">
        <v>38</v>
      </c>
      <c r="B20" s="21" t="s">
        <v>43</v>
      </c>
      <c r="C20" s="16">
        <v>144087.54</v>
      </c>
      <c r="D20" s="22">
        <v>120967.56369000001</v>
      </c>
      <c r="E20" s="15">
        <v>0.83954215395724019</v>
      </c>
      <c r="F20" s="22">
        <v>23119.976310000002</v>
      </c>
      <c r="G20" s="15">
        <v>0.16045784604275984</v>
      </c>
    </row>
    <row r="21" spans="1:7" ht="17.45" hidden="1">
      <c r="A21" s="21" t="s">
        <v>38</v>
      </c>
      <c r="B21" s="21" t="s">
        <v>44</v>
      </c>
      <c r="C21" s="16">
        <v>867051</v>
      </c>
      <c r="D21" s="22">
        <v>356535.08020099998</v>
      </c>
      <c r="E21" s="15">
        <v>0.41120427771953438</v>
      </c>
      <c r="F21" s="22">
        <v>510515.91979900002</v>
      </c>
      <c r="G21" s="15">
        <v>0.58879572228046562</v>
      </c>
    </row>
    <row r="22" spans="1:7" ht="17.45" hidden="1">
      <c r="A22" s="21" t="s">
        <v>38</v>
      </c>
      <c r="B22" s="21" t="s">
        <v>45</v>
      </c>
      <c r="C22" s="16">
        <v>112716.63</v>
      </c>
      <c r="D22" s="22">
        <v>25252.145000000004</v>
      </c>
      <c r="E22" s="15">
        <v>0.22403211487071606</v>
      </c>
      <c r="F22" s="22">
        <v>87464.485000000001</v>
      </c>
      <c r="G22" s="15">
        <v>0.77596788512928394</v>
      </c>
    </row>
    <row r="23" spans="1:7" ht="17.45" hidden="1">
      <c r="A23" s="21" t="s">
        <v>38</v>
      </c>
      <c r="B23" s="21" t="s">
        <v>46</v>
      </c>
      <c r="C23" s="16">
        <v>112716.63</v>
      </c>
      <c r="D23" s="22">
        <v>84938.137000000002</v>
      </c>
      <c r="E23" s="15">
        <v>0.75355461745085883</v>
      </c>
      <c r="F23" s="22">
        <v>27778.492999999999</v>
      </c>
      <c r="G23" s="15">
        <v>0.24644538254914114</v>
      </c>
    </row>
    <row r="24" spans="1:7" ht="17.45" hidden="1">
      <c r="A24" s="21" t="s">
        <v>38</v>
      </c>
      <c r="B24" s="21" t="s">
        <v>47</v>
      </c>
      <c r="C24" s="16">
        <v>112716.63</v>
      </c>
      <c r="D24" s="22">
        <v>112.99170000001322</v>
      </c>
      <c r="E24" s="15">
        <v>1.0024403674950833E-3</v>
      </c>
      <c r="F24" s="22">
        <v>112603.63829999999</v>
      </c>
      <c r="G24" s="15">
        <v>0.99899755963250492</v>
      </c>
    </row>
    <row r="25" spans="1:7" ht="17.45" hidden="1">
      <c r="A25" s="21" t="s">
        <v>38</v>
      </c>
      <c r="B25" s="21" t="s">
        <v>48</v>
      </c>
      <c r="C25" s="16">
        <v>112716.63</v>
      </c>
      <c r="D25" s="22">
        <v>112716.63</v>
      </c>
      <c r="E25" s="15">
        <v>1</v>
      </c>
      <c r="F25" s="22">
        <v>0</v>
      </c>
      <c r="G25" s="15">
        <v>0</v>
      </c>
    </row>
    <row r="26" spans="1:7" ht="17.45" hidden="1">
      <c r="A26" s="21" t="s">
        <v>38</v>
      </c>
      <c r="B26" s="21" t="s">
        <v>49</v>
      </c>
      <c r="C26" s="16">
        <v>112716.63</v>
      </c>
      <c r="D26" s="22">
        <v>66891.100000000006</v>
      </c>
      <c r="E26" s="15">
        <v>0.5934448182136034</v>
      </c>
      <c r="F26" s="22">
        <v>45825.53</v>
      </c>
      <c r="G26" s="15">
        <v>0.40655518178639655</v>
      </c>
    </row>
    <row r="27" spans="1:7" ht="17.45" hidden="1">
      <c r="A27" s="21" t="s">
        <v>38</v>
      </c>
      <c r="B27" s="21" t="s">
        <v>50</v>
      </c>
      <c r="C27" s="16">
        <v>112716.63</v>
      </c>
      <c r="D27" s="22">
        <v>119.72376999999688</v>
      </c>
      <c r="E27" s="15">
        <v>1.0621659820737595E-3</v>
      </c>
      <c r="F27" s="22">
        <v>112596.90623000001</v>
      </c>
      <c r="G27" s="15">
        <v>0.99893783401792624</v>
      </c>
    </row>
    <row r="28" spans="1:7" ht="17.45" hidden="1">
      <c r="A28" s="21" t="s">
        <v>38</v>
      </c>
      <c r="B28" s="21" t="s">
        <v>51</v>
      </c>
      <c r="C28" s="16">
        <v>112716.63</v>
      </c>
      <c r="D28" s="22">
        <v>2729.3084600000002</v>
      </c>
      <c r="E28" s="15">
        <v>2.4213893371368589E-2</v>
      </c>
      <c r="F28" s="22">
        <v>109987.32154</v>
      </c>
      <c r="G28" s="15">
        <v>0.97578610662863141</v>
      </c>
    </row>
    <row r="29" spans="1:7" ht="17.45" hidden="1">
      <c r="A29" s="21" t="s">
        <v>38</v>
      </c>
      <c r="B29" s="21" t="s">
        <v>52</v>
      </c>
      <c r="C29" s="16">
        <v>112716.63</v>
      </c>
      <c r="D29" s="22">
        <v>293.49000000000524</v>
      </c>
      <c r="E29" s="15">
        <v>2.6037861493908299E-3</v>
      </c>
      <c r="F29" s="22">
        <v>112423.14</v>
      </c>
      <c r="G29" s="15">
        <v>0.99739621385060917</v>
      </c>
    </row>
    <row r="30" spans="1:7" ht="17.45" hidden="1">
      <c r="A30" s="21" t="s">
        <v>38</v>
      </c>
      <c r="B30" s="21" t="s">
        <v>53</v>
      </c>
      <c r="C30" s="16">
        <v>112716.63</v>
      </c>
      <c r="D30" s="22">
        <v>0</v>
      </c>
      <c r="E30" s="15">
        <v>0</v>
      </c>
      <c r="F30" s="22">
        <v>112716.63</v>
      </c>
      <c r="G30" s="15">
        <v>1</v>
      </c>
    </row>
    <row r="31" spans="1:7" ht="17.45" hidden="1">
      <c r="A31" s="21" t="s">
        <v>38</v>
      </c>
      <c r="B31" s="21" t="s">
        <v>54</v>
      </c>
      <c r="C31" s="16">
        <v>112716.63</v>
      </c>
      <c r="D31" s="22">
        <v>100899.324001</v>
      </c>
      <c r="E31" s="15">
        <v>0.89515916152745167</v>
      </c>
      <c r="F31" s="22">
        <v>11817.305999</v>
      </c>
      <c r="G31" s="15">
        <v>0.10484083847254837</v>
      </c>
    </row>
    <row r="32" spans="1:7" ht="17.45" hidden="1">
      <c r="A32" s="21" t="s">
        <v>55</v>
      </c>
      <c r="B32" s="21" t="s">
        <v>56</v>
      </c>
      <c r="C32" s="16">
        <v>1155.9960000000001</v>
      </c>
      <c r="D32" s="22">
        <v>188.27400000000011</v>
      </c>
      <c r="E32" s="15">
        <v>0.16286734556174942</v>
      </c>
      <c r="F32" s="22">
        <v>967.72199999999998</v>
      </c>
      <c r="G32" s="15">
        <v>0.83713265443825058</v>
      </c>
    </row>
    <row r="33" spans="1:7" ht="17.45" hidden="1">
      <c r="A33" s="21" t="s">
        <v>55</v>
      </c>
      <c r="B33" s="21" t="s">
        <v>57</v>
      </c>
      <c r="C33" s="16">
        <v>594.49302999999998</v>
      </c>
      <c r="D33" s="22">
        <v>340.73199999999997</v>
      </c>
      <c r="E33" s="15">
        <v>0.57314717381968294</v>
      </c>
      <c r="F33" s="22">
        <v>253.76103000000003</v>
      </c>
      <c r="G33" s="15">
        <v>0.42685282618031711</v>
      </c>
    </row>
    <row r="34" spans="1:7" ht="17.45" hidden="1">
      <c r="A34" s="21" t="s">
        <v>55</v>
      </c>
      <c r="B34" s="21" t="s">
        <v>42</v>
      </c>
      <c r="C34" s="16">
        <v>256.97000000000003</v>
      </c>
      <c r="D34" s="22">
        <v>256.97000000000003</v>
      </c>
      <c r="E34" s="15">
        <v>1</v>
      </c>
      <c r="F34" s="22">
        <v>0</v>
      </c>
      <c r="G34" s="15">
        <v>0</v>
      </c>
    </row>
    <row r="35" spans="1:7" ht="17.45" hidden="1">
      <c r="A35" s="21" t="s">
        <v>55</v>
      </c>
      <c r="B35" s="21" t="s">
        <v>44</v>
      </c>
      <c r="C35" s="16">
        <v>480.40570000000002</v>
      </c>
      <c r="D35" s="22">
        <v>136.71590000000003</v>
      </c>
      <c r="E35" s="15">
        <v>0.28458425867969517</v>
      </c>
      <c r="F35" s="22">
        <v>343.68979999999999</v>
      </c>
      <c r="G35" s="15">
        <v>0.71541574132030483</v>
      </c>
    </row>
    <row r="36" spans="1:7" ht="17.45" hidden="1">
      <c r="A36" s="21" t="s">
        <v>58</v>
      </c>
      <c r="B36" s="21" t="s">
        <v>40</v>
      </c>
      <c r="C36" s="16">
        <v>165051.22</v>
      </c>
      <c r="D36" s="22">
        <v>149236.656292</v>
      </c>
      <c r="E36" s="15">
        <v>0.90418390298478257</v>
      </c>
      <c r="F36" s="22">
        <v>15814.563708000001</v>
      </c>
      <c r="G36" s="15">
        <v>9.5816097015217469E-2</v>
      </c>
    </row>
    <row r="37" spans="1:7" ht="17.45" hidden="1">
      <c r="A37" s="21" t="s">
        <v>58</v>
      </c>
      <c r="B37" s="21" t="s">
        <v>41</v>
      </c>
      <c r="C37" s="16">
        <v>95726.399999999994</v>
      </c>
      <c r="D37" s="22">
        <v>91943.564999999988</v>
      </c>
      <c r="E37" s="15">
        <v>0.96048284485784485</v>
      </c>
      <c r="F37" s="22">
        <v>3782.835</v>
      </c>
      <c r="G37" s="15">
        <v>3.9517155142155147E-2</v>
      </c>
    </row>
    <row r="38" spans="1:7" ht="17.45" hidden="1">
      <c r="A38" s="21" t="s">
        <v>58</v>
      </c>
      <c r="B38" s="21" t="s">
        <v>42</v>
      </c>
      <c r="C38" s="16">
        <v>175442.02992500001</v>
      </c>
      <c r="D38" s="22">
        <v>88308.677725000001</v>
      </c>
      <c r="E38" s="15">
        <v>0.50334961219242169</v>
      </c>
      <c r="F38" s="22">
        <v>87133.352200000008</v>
      </c>
      <c r="G38" s="15">
        <v>0.49665038780757825</v>
      </c>
    </row>
    <row r="39" spans="1:7" ht="17.45" hidden="1">
      <c r="A39" s="21" t="s">
        <v>58</v>
      </c>
      <c r="B39" s="21" t="s">
        <v>43</v>
      </c>
      <c r="C39" s="16">
        <v>41670.78</v>
      </c>
      <c r="D39" s="22">
        <v>20770.420649999996</v>
      </c>
      <c r="E39" s="15">
        <v>0.49844088951538701</v>
      </c>
      <c r="F39" s="22">
        <v>20900.359350000002</v>
      </c>
      <c r="G39" s="15">
        <v>0.50155911048461299</v>
      </c>
    </row>
    <row r="40" spans="1:7" ht="17.45" hidden="1">
      <c r="A40" s="21" t="s">
        <v>58</v>
      </c>
      <c r="B40" s="21" t="s">
        <v>44</v>
      </c>
      <c r="C40" s="16">
        <v>338382.42</v>
      </c>
      <c r="D40" s="22">
        <v>177071.16032899998</v>
      </c>
      <c r="E40" s="15">
        <v>0.52328711500142355</v>
      </c>
      <c r="F40" s="22">
        <v>161311.25967100001</v>
      </c>
      <c r="G40" s="15">
        <v>0.4767128849985765</v>
      </c>
    </row>
    <row r="41" spans="1:7" ht="17.45" hidden="1">
      <c r="A41" s="21" t="s">
        <v>58</v>
      </c>
      <c r="B41" s="21" t="s">
        <v>59</v>
      </c>
      <c r="C41" s="16">
        <v>43989.714999999997</v>
      </c>
      <c r="D41" s="22">
        <v>43989.714999999997</v>
      </c>
      <c r="E41" s="15">
        <v>1</v>
      </c>
      <c r="F41" s="22">
        <v>0</v>
      </c>
      <c r="G41" s="15">
        <v>0</v>
      </c>
    </row>
    <row r="42" spans="1:7" ht="17.45" hidden="1">
      <c r="A42" s="21" t="s">
        <v>58</v>
      </c>
      <c r="B42" s="21" t="s">
        <v>46</v>
      </c>
      <c r="C42" s="16">
        <v>43989.714999999997</v>
      </c>
      <c r="D42" s="22">
        <v>43989.714999999997</v>
      </c>
      <c r="E42" s="15">
        <v>1</v>
      </c>
      <c r="F42" s="22">
        <v>0</v>
      </c>
      <c r="G42" s="15">
        <v>0</v>
      </c>
    </row>
    <row r="43" spans="1:7" ht="17.45" hidden="1">
      <c r="A43" s="21" t="s">
        <v>58</v>
      </c>
      <c r="B43" s="21" t="s">
        <v>48</v>
      </c>
      <c r="C43" s="16">
        <v>43989.714999999997</v>
      </c>
      <c r="D43" s="22">
        <v>43989.714999999997</v>
      </c>
      <c r="E43" s="15">
        <v>1</v>
      </c>
      <c r="F43" s="22">
        <v>0</v>
      </c>
      <c r="G43" s="15">
        <v>0</v>
      </c>
    </row>
    <row r="44" spans="1:7" ht="17.45" hidden="1">
      <c r="A44" s="21" t="s">
        <v>58</v>
      </c>
      <c r="B44" s="21" t="s">
        <v>47</v>
      </c>
      <c r="C44" s="16">
        <v>43989.714999999997</v>
      </c>
      <c r="D44" s="22">
        <v>43989.714999999997</v>
      </c>
      <c r="E44" s="15">
        <v>1</v>
      </c>
      <c r="F44" s="22">
        <v>0</v>
      </c>
      <c r="G44" s="15">
        <v>0</v>
      </c>
    </row>
    <row r="45" spans="1:7" ht="17.45" hidden="1">
      <c r="A45" s="21" t="s">
        <v>60</v>
      </c>
      <c r="B45" s="21" t="s">
        <v>42</v>
      </c>
      <c r="C45" s="16">
        <v>1119.98</v>
      </c>
      <c r="D45" s="22">
        <v>0</v>
      </c>
      <c r="E45" s="15">
        <v>0</v>
      </c>
      <c r="F45" s="22">
        <v>1119.98</v>
      </c>
      <c r="G45" s="15">
        <v>1</v>
      </c>
    </row>
    <row r="46" spans="1:7" ht="17.45">
      <c r="A46" s="21" t="s">
        <v>60</v>
      </c>
      <c r="B46" s="21" t="s">
        <v>61</v>
      </c>
      <c r="C46" s="16">
        <v>335.88</v>
      </c>
      <c r="D46" s="22">
        <v>0</v>
      </c>
      <c r="E46" s="15">
        <v>0</v>
      </c>
      <c r="F46" s="22">
        <v>335.88</v>
      </c>
      <c r="G46" s="15">
        <v>1</v>
      </c>
    </row>
    <row r="47" spans="1:7" ht="17.45" hidden="1">
      <c r="A47" s="21" t="s">
        <v>60</v>
      </c>
      <c r="B47" s="21" t="s">
        <v>41</v>
      </c>
      <c r="C47" s="16">
        <v>514.38</v>
      </c>
      <c r="D47" s="22">
        <v>0</v>
      </c>
      <c r="E47" s="15">
        <v>0</v>
      </c>
      <c r="F47" s="22">
        <v>514.38</v>
      </c>
      <c r="G47" s="15">
        <v>1</v>
      </c>
    </row>
    <row r="48" spans="1:7" ht="17.45" hidden="1">
      <c r="A48" s="21" t="s">
        <v>60</v>
      </c>
      <c r="B48" s="21" t="s">
        <v>44</v>
      </c>
      <c r="C48" s="16">
        <v>1703.9749999999999</v>
      </c>
      <c r="D48" s="22">
        <v>858.82899999999995</v>
      </c>
      <c r="E48" s="15">
        <v>0.50401502369459639</v>
      </c>
      <c r="F48" s="22">
        <v>845.14599999999996</v>
      </c>
      <c r="G48" s="15">
        <v>0.49598497630540356</v>
      </c>
    </row>
    <row r="49" spans="1:7" ht="17.45" hidden="1">
      <c r="A49" s="21" t="s">
        <v>62</v>
      </c>
      <c r="B49" s="21" t="s">
        <v>41</v>
      </c>
      <c r="C49" s="16">
        <v>44092.313000000002</v>
      </c>
      <c r="D49" s="22">
        <v>35113.908000000003</v>
      </c>
      <c r="E49" s="15">
        <v>0.79637255591467837</v>
      </c>
      <c r="F49" s="22">
        <v>8978.4050000000007</v>
      </c>
      <c r="G49" s="15">
        <v>0.20362744408532163</v>
      </c>
    </row>
    <row r="50" spans="1:7" ht="17.45" hidden="1">
      <c r="A50" s="21" t="s">
        <v>62</v>
      </c>
      <c r="B50" s="21" t="s">
        <v>63</v>
      </c>
      <c r="C50" s="16">
        <v>46157.646009999997</v>
      </c>
      <c r="D50" s="22">
        <v>41513.336139999999</v>
      </c>
      <c r="E50" s="15">
        <v>0.89938157008713537</v>
      </c>
      <c r="F50" s="22">
        <v>4644.30987</v>
      </c>
      <c r="G50" s="15">
        <v>0.10061842991286463</v>
      </c>
    </row>
    <row r="51" spans="1:7" ht="17.45" hidden="1">
      <c r="A51" s="21" t="s">
        <v>62</v>
      </c>
      <c r="B51" s="21" t="s">
        <v>64</v>
      </c>
      <c r="C51" s="16">
        <v>24990.42</v>
      </c>
      <c r="D51" s="22">
        <v>6400.5099999999984</v>
      </c>
      <c r="E51" s="15">
        <v>0.25611854462630079</v>
      </c>
      <c r="F51" s="22">
        <v>18589.91</v>
      </c>
      <c r="G51" s="15">
        <v>0.74388145537369921</v>
      </c>
    </row>
    <row r="52" spans="1:7" ht="17.45" hidden="1">
      <c r="A52" s="21" t="s">
        <v>62</v>
      </c>
      <c r="B52" s="21" t="s">
        <v>44</v>
      </c>
      <c r="C52" s="16">
        <v>8804.4750000000004</v>
      </c>
      <c r="D52" s="22">
        <v>2479.4640400000008</v>
      </c>
      <c r="E52" s="15">
        <v>0.28161407011775275</v>
      </c>
      <c r="F52" s="22">
        <v>6325.0109599999996</v>
      </c>
      <c r="G52" s="15">
        <v>0.71838592988224725</v>
      </c>
    </row>
    <row r="53" spans="1:7" ht="17.45" hidden="1">
      <c r="A53" s="21" t="s">
        <v>62</v>
      </c>
      <c r="B53" s="21" t="s">
        <v>47</v>
      </c>
      <c r="C53" s="16">
        <v>2619.3719999999998</v>
      </c>
      <c r="D53" s="22">
        <v>1834.9409999999998</v>
      </c>
      <c r="E53" s="15">
        <v>0.70052707290144356</v>
      </c>
      <c r="F53" s="22">
        <v>784.43099999999993</v>
      </c>
      <c r="G53" s="15">
        <v>0.29947292709855644</v>
      </c>
    </row>
    <row r="54" spans="1:7" ht="17.45" hidden="1">
      <c r="A54" s="21" t="s">
        <v>65</v>
      </c>
      <c r="B54" s="21" t="s">
        <v>41</v>
      </c>
      <c r="C54" s="16">
        <v>37973.519999999997</v>
      </c>
      <c r="D54" s="22">
        <v>37973.519999999997</v>
      </c>
      <c r="E54" s="15">
        <v>1</v>
      </c>
      <c r="F54" s="22">
        <v>0</v>
      </c>
      <c r="G54" s="15">
        <v>0</v>
      </c>
    </row>
    <row r="55" spans="1:7" ht="17.45" hidden="1">
      <c r="A55" s="21" t="s">
        <v>65</v>
      </c>
      <c r="B55" s="21" t="s">
        <v>40</v>
      </c>
      <c r="C55" s="16">
        <v>54279.97</v>
      </c>
      <c r="D55" s="22">
        <v>49386.2336</v>
      </c>
      <c r="E55" s="15">
        <v>0.90984268414297209</v>
      </c>
      <c r="F55" s="22">
        <v>4893.7363999999998</v>
      </c>
      <c r="G55" s="15">
        <v>9.0157315857027923E-2</v>
      </c>
    </row>
    <row r="56" spans="1:7" ht="17.45" hidden="1">
      <c r="A56" s="21" t="s">
        <v>65</v>
      </c>
      <c r="B56" s="21" t="s">
        <v>42</v>
      </c>
      <c r="C56" s="16">
        <v>35779.120000000003</v>
      </c>
      <c r="D56" s="22">
        <v>29902.522510000003</v>
      </c>
      <c r="E56" s="15">
        <v>0.83575343692075155</v>
      </c>
      <c r="F56" s="22">
        <v>5876.5974900000001</v>
      </c>
      <c r="G56" s="15">
        <v>0.16424656307924845</v>
      </c>
    </row>
    <row r="57" spans="1:7" ht="17.45" hidden="1">
      <c r="A57" s="21" t="s">
        <v>65</v>
      </c>
      <c r="B57" s="21" t="s">
        <v>44</v>
      </c>
      <c r="C57" s="16">
        <v>477714.4</v>
      </c>
      <c r="D57" s="22">
        <v>409970.12382900005</v>
      </c>
      <c r="E57" s="15">
        <v>0.85819084337629348</v>
      </c>
      <c r="F57" s="22">
        <v>67744.27617099999</v>
      </c>
      <c r="G57" s="15">
        <v>0.14180915662370652</v>
      </c>
    </row>
    <row r="58" spans="1:7" ht="17.45" hidden="1">
      <c r="A58" s="21" t="s">
        <v>65</v>
      </c>
      <c r="B58" s="21" t="s">
        <v>59</v>
      </c>
      <c r="C58" s="16">
        <v>119428.6</v>
      </c>
      <c r="D58" s="22">
        <v>119428.6</v>
      </c>
      <c r="E58" s="15">
        <v>1</v>
      </c>
      <c r="F58" s="22">
        <v>0</v>
      </c>
      <c r="G58" s="15">
        <v>0</v>
      </c>
    </row>
    <row r="59" spans="1:7" ht="17.45" hidden="1">
      <c r="A59" s="21" t="s">
        <v>65</v>
      </c>
      <c r="B59" s="21" t="s">
        <v>46</v>
      </c>
      <c r="C59" s="16">
        <v>119428.6</v>
      </c>
      <c r="D59" s="22">
        <v>119428.599629</v>
      </c>
      <c r="E59" s="15">
        <v>0.99999999689354147</v>
      </c>
      <c r="F59" s="22">
        <v>3.7100000000123146E-4</v>
      </c>
      <c r="G59" s="15">
        <v>3.1064585869819411E-9</v>
      </c>
    </row>
    <row r="60" spans="1:7" ht="17.45" hidden="1">
      <c r="A60" s="21" t="s">
        <v>65</v>
      </c>
      <c r="B60" s="21" t="s">
        <v>48</v>
      </c>
      <c r="C60" s="16">
        <v>119428.6</v>
      </c>
      <c r="D60" s="22">
        <v>119428.6</v>
      </c>
      <c r="E60" s="15">
        <v>1</v>
      </c>
      <c r="F60" s="22">
        <v>0</v>
      </c>
      <c r="G60" s="15">
        <v>0</v>
      </c>
    </row>
    <row r="61" spans="1:7" ht="17.45" hidden="1">
      <c r="A61" s="21" t="s">
        <v>65</v>
      </c>
      <c r="B61" s="21" t="s">
        <v>66</v>
      </c>
      <c r="C61" s="16">
        <v>119428.6</v>
      </c>
      <c r="D61" s="22">
        <v>51660.291829000009</v>
      </c>
      <c r="E61" s="15">
        <v>0.43256214867293097</v>
      </c>
      <c r="F61" s="22">
        <v>67768.308170999997</v>
      </c>
      <c r="G61" s="15">
        <v>0.56743785132706903</v>
      </c>
    </row>
    <row r="62" spans="1:7" ht="17.45" hidden="1">
      <c r="A62" s="21" t="s">
        <v>67</v>
      </c>
      <c r="B62" s="21" t="s">
        <v>63</v>
      </c>
      <c r="C62" s="16">
        <v>129758.76</v>
      </c>
      <c r="D62" s="22">
        <v>129759.52658399999</v>
      </c>
      <c r="E62" s="15">
        <v>1.0000059077629904</v>
      </c>
      <c r="F62" s="22">
        <v>-0.76658400000000015</v>
      </c>
      <c r="G62" s="15">
        <v>-5.907762990336839E-6</v>
      </c>
    </row>
    <row r="63" spans="1:7" ht="17.45" hidden="1">
      <c r="A63" s="21" t="s">
        <v>67</v>
      </c>
      <c r="B63" s="21" t="s">
        <v>41</v>
      </c>
      <c r="C63" s="16">
        <v>169725.568604</v>
      </c>
      <c r="D63" s="22">
        <v>169731.34395899999</v>
      </c>
      <c r="E63" s="15">
        <v>1.0000340276073163</v>
      </c>
      <c r="F63" s="22">
        <v>-5.7753549999999905</v>
      </c>
      <c r="G63" s="15">
        <v>-3.4027607316343263E-5</v>
      </c>
    </row>
    <row r="64" spans="1:7" ht="17.45" hidden="1">
      <c r="A64" s="21" t="s">
        <v>67</v>
      </c>
      <c r="B64" s="21" t="s">
        <v>40</v>
      </c>
      <c r="C64" s="16">
        <v>99930.704299999998</v>
      </c>
      <c r="D64" s="22">
        <v>65794.139150000003</v>
      </c>
      <c r="E64" s="15">
        <v>0.65839763274839647</v>
      </c>
      <c r="F64" s="22">
        <v>34136.565149999995</v>
      </c>
      <c r="G64" s="15">
        <v>0.34160236725160353</v>
      </c>
    </row>
    <row r="65" spans="1:7" ht="17.45" hidden="1">
      <c r="A65" s="21" t="s">
        <v>67</v>
      </c>
      <c r="B65" s="21" t="s">
        <v>42</v>
      </c>
      <c r="C65" s="16">
        <v>53764.565210999994</v>
      </c>
      <c r="D65" s="22">
        <v>15537.388176999993</v>
      </c>
      <c r="E65" s="15">
        <v>0.28898937647915945</v>
      </c>
      <c r="F65" s="22">
        <v>38227.177034</v>
      </c>
      <c r="G65" s="15">
        <v>0.71101062352084055</v>
      </c>
    </row>
    <row r="66" spans="1:7" ht="17.45" hidden="1">
      <c r="A66" s="21" t="s">
        <v>67</v>
      </c>
      <c r="B66" s="21" t="s">
        <v>44</v>
      </c>
      <c r="C66" s="16">
        <v>106036.75</v>
      </c>
      <c r="D66" s="22">
        <v>106036.75</v>
      </c>
      <c r="E66" s="15">
        <v>1</v>
      </c>
      <c r="F66" s="22">
        <v>0</v>
      </c>
      <c r="G66" s="15">
        <v>0</v>
      </c>
    </row>
    <row r="67" spans="1:7" ht="17.45" hidden="1">
      <c r="A67" s="21" t="s">
        <v>68</v>
      </c>
      <c r="B67" s="21" t="s">
        <v>40</v>
      </c>
      <c r="C67" s="16">
        <v>79534.720000000001</v>
      </c>
      <c r="D67" s="22">
        <v>79551.728600999995</v>
      </c>
      <c r="E67" s="15">
        <v>1.0002138512714951</v>
      </c>
      <c r="F67" s="22">
        <v>-17.008600999999999</v>
      </c>
      <c r="G67" s="15">
        <v>-2.1385127149501498E-4</v>
      </c>
    </row>
    <row r="68" spans="1:7" ht="17.45" hidden="1">
      <c r="A68" s="21" t="s">
        <v>68</v>
      </c>
      <c r="B68" s="21" t="s">
        <v>41</v>
      </c>
      <c r="C68" s="16">
        <v>71880.73</v>
      </c>
      <c r="D68" s="22">
        <v>71880.73</v>
      </c>
      <c r="E68" s="15">
        <v>1</v>
      </c>
      <c r="F68" s="22">
        <v>0</v>
      </c>
      <c r="G68" s="15">
        <v>0</v>
      </c>
    </row>
    <row r="69" spans="1:7" ht="17.45" hidden="1">
      <c r="A69" s="21" t="s">
        <v>68</v>
      </c>
      <c r="B69" s="21" t="s">
        <v>42</v>
      </c>
      <c r="C69" s="16">
        <v>62766.132450000005</v>
      </c>
      <c r="D69" s="22">
        <v>33541.404424000008</v>
      </c>
      <c r="E69" s="15">
        <v>0.5343869872931768</v>
      </c>
      <c r="F69" s="22">
        <v>29224.728026000001</v>
      </c>
      <c r="G69" s="15">
        <v>0.4656130127068232</v>
      </c>
    </row>
    <row r="70" spans="1:7" ht="17.45" hidden="1">
      <c r="A70" s="21" t="s">
        <v>68</v>
      </c>
      <c r="B70" s="21" t="s">
        <v>64</v>
      </c>
      <c r="C70" s="16">
        <v>23037.439999999999</v>
      </c>
      <c r="D70" s="22">
        <v>23037.439999999999</v>
      </c>
      <c r="E70" s="15">
        <v>1</v>
      </c>
      <c r="F70" s="22">
        <v>0</v>
      </c>
      <c r="G70" s="15">
        <v>0</v>
      </c>
    </row>
    <row r="71" spans="1:7" ht="17.45" hidden="1">
      <c r="A71" s="21" t="s">
        <v>68</v>
      </c>
      <c r="B71" s="21" t="s">
        <v>39</v>
      </c>
      <c r="C71" s="16">
        <v>15905.06</v>
      </c>
      <c r="D71" s="22">
        <v>15905.06</v>
      </c>
      <c r="E71" s="15">
        <v>1</v>
      </c>
      <c r="F71" s="22">
        <v>0</v>
      </c>
      <c r="G71" s="15">
        <v>0</v>
      </c>
    </row>
    <row r="72" spans="1:7" ht="17.45" hidden="1">
      <c r="A72" s="21" t="s">
        <v>68</v>
      </c>
      <c r="B72" s="21" t="s">
        <v>44</v>
      </c>
      <c r="C72" s="16">
        <v>43375</v>
      </c>
      <c r="D72" s="22">
        <v>12315.185667999998</v>
      </c>
      <c r="E72" s="15">
        <v>0.28392358888760805</v>
      </c>
      <c r="F72" s="22">
        <v>31059.814332000002</v>
      </c>
      <c r="G72" s="15">
        <v>0.71607641111239195</v>
      </c>
    </row>
    <row r="73" spans="1:7" ht="17.45" hidden="1">
      <c r="A73" s="21" t="s">
        <v>68</v>
      </c>
      <c r="B73" s="21" t="s">
        <v>46</v>
      </c>
      <c r="C73" s="16">
        <v>10843.75</v>
      </c>
      <c r="D73" s="22">
        <v>10843.75</v>
      </c>
      <c r="E73" s="15">
        <v>1</v>
      </c>
      <c r="F73" s="22">
        <v>0</v>
      </c>
      <c r="G73" s="15">
        <v>0</v>
      </c>
    </row>
    <row r="74" spans="1:7" ht="17.45" hidden="1">
      <c r="A74" s="21" t="s">
        <v>69</v>
      </c>
      <c r="B74" s="21" t="s">
        <v>63</v>
      </c>
      <c r="C74" s="16">
        <v>112250.74</v>
      </c>
      <c r="D74" s="22">
        <v>112250.74</v>
      </c>
      <c r="E74" s="15">
        <v>1</v>
      </c>
      <c r="F74" s="22">
        <v>0</v>
      </c>
      <c r="G74" s="15">
        <v>0</v>
      </c>
    </row>
    <row r="75" spans="1:7" ht="17.45" hidden="1">
      <c r="A75" s="21" t="s">
        <v>69</v>
      </c>
      <c r="B75" s="21" t="s">
        <v>42</v>
      </c>
      <c r="C75" s="16">
        <v>40943.870000000003</v>
      </c>
      <c r="D75" s="22">
        <v>11752.086125999998</v>
      </c>
      <c r="E75" s="15">
        <v>0.28702919694694218</v>
      </c>
      <c r="F75" s="22">
        <v>29191.783874000004</v>
      </c>
      <c r="G75" s="15">
        <v>0.71297080305305782</v>
      </c>
    </row>
    <row r="76" spans="1:7" ht="17.45" hidden="1">
      <c r="A76" s="21" t="s">
        <v>69</v>
      </c>
      <c r="B76" s="21" t="s">
        <v>43</v>
      </c>
      <c r="C76" s="16">
        <v>22531.93</v>
      </c>
      <c r="D76" s="22">
        <v>17816.034</v>
      </c>
      <c r="E76" s="15">
        <v>0.79070163985064745</v>
      </c>
      <c r="F76" s="22">
        <v>4715.8959999999997</v>
      </c>
      <c r="G76" s="15">
        <v>0.20929836014935249</v>
      </c>
    </row>
    <row r="77" spans="1:7" ht="17.45" hidden="1">
      <c r="A77" s="21" t="s">
        <v>69</v>
      </c>
      <c r="B77" s="21" t="s">
        <v>41</v>
      </c>
      <c r="C77" s="16">
        <v>16298.58</v>
      </c>
      <c r="D77" s="22">
        <v>16138.780865000001</v>
      </c>
      <c r="E77" s="15">
        <v>0.99019551795309779</v>
      </c>
      <c r="F77" s="22">
        <v>159.79913500000001</v>
      </c>
      <c r="G77" s="15">
        <v>9.8044820469022458E-3</v>
      </c>
    </row>
    <row r="78" spans="1:7" ht="17.45" hidden="1">
      <c r="A78" s="21" t="s">
        <v>69</v>
      </c>
      <c r="B78" s="21" t="s">
        <v>64</v>
      </c>
      <c r="C78" s="16">
        <v>13551.08</v>
      </c>
      <c r="D78" s="22">
        <v>13550.018</v>
      </c>
      <c r="E78" s="15">
        <v>0.99992162986271205</v>
      </c>
      <c r="F78" s="22">
        <v>1.0620000000000001</v>
      </c>
      <c r="G78" s="15">
        <v>7.8370137287950482E-5</v>
      </c>
    </row>
    <row r="79" spans="1:7" ht="17.45" hidden="1">
      <c r="A79" s="21" t="s">
        <v>69</v>
      </c>
      <c r="B79" s="21" t="s">
        <v>44</v>
      </c>
      <c r="C79" s="16">
        <v>21231.885171999998</v>
      </c>
      <c r="D79" s="22">
        <v>6919.4040599999989</v>
      </c>
      <c r="E79" s="15">
        <v>0.32589682941226106</v>
      </c>
      <c r="F79" s="22">
        <v>14312.481111999999</v>
      </c>
      <c r="G79" s="15">
        <v>0.67410317058773894</v>
      </c>
    </row>
    <row r="80" spans="1:7" ht="17.45" hidden="1">
      <c r="A80" s="21" t="s">
        <v>69</v>
      </c>
      <c r="B80" s="21" t="s">
        <v>70</v>
      </c>
      <c r="C80" s="16">
        <v>7510.52</v>
      </c>
      <c r="D80" s="22">
        <v>7510.52</v>
      </c>
      <c r="E80" s="15">
        <v>1</v>
      </c>
      <c r="F80" s="22">
        <v>0</v>
      </c>
      <c r="G80" s="15">
        <v>0</v>
      </c>
    </row>
    <row r="81" spans="1:7" ht="17.45" hidden="1">
      <c r="A81" s="21" t="s">
        <v>69</v>
      </c>
      <c r="B81" s="21" t="s">
        <v>59</v>
      </c>
      <c r="C81" s="16">
        <v>7510.52</v>
      </c>
      <c r="D81" s="22">
        <v>7510.52</v>
      </c>
      <c r="E81" s="15">
        <v>1</v>
      </c>
      <c r="F81" s="22">
        <v>0</v>
      </c>
      <c r="G81" s="15">
        <v>0</v>
      </c>
    </row>
    <row r="82" spans="1:7" ht="17.45" hidden="1">
      <c r="A82" s="21" t="s">
        <v>69</v>
      </c>
      <c r="B82" s="21" t="s">
        <v>47</v>
      </c>
      <c r="C82" s="16">
        <v>7510.52</v>
      </c>
      <c r="D82" s="22">
        <v>7510.52</v>
      </c>
      <c r="E82" s="15">
        <v>1</v>
      </c>
      <c r="F82" s="22">
        <v>0</v>
      </c>
      <c r="G82" s="15">
        <v>0</v>
      </c>
    </row>
    <row r="83" spans="1:7" ht="17.45" hidden="1">
      <c r="A83" s="21" t="s">
        <v>71</v>
      </c>
      <c r="B83" s="21" t="s">
        <v>44</v>
      </c>
      <c r="C83" s="16">
        <v>556792.36</v>
      </c>
      <c r="D83" s="22">
        <v>433677.48297699995</v>
      </c>
      <c r="E83" s="15">
        <v>0.778885477122926</v>
      </c>
      <c r="F83" s="22">
        <v>123114.87702300001</v>
      </c>
      <c r="G83" s="15">
        <v>0.22111452287707398</v>
      </c>
    </row>
    <row r="84" spans="1:7" ht="17.45" hidden="1">
      <c r="A84" s="21" t="s">
        <v>71</v>
      </c>
      <c r="B84" s="21" t="s">
        <v>70</v>
      </c>
      <c r="C84" s="16">
        <v>111358.47199999999</v>
      </c>
      <c r="D84" s="22">
        <v>106550.18339999999</v>
      </c>
      <c r="E84" s="15">
        <v>0.9568215285856293</v>
      </c>
      <c r="F84" s="22">
        <v>4808.2885999999999</v>
      </c>
      <c r="G84" s="15">
        <v>4.31784714143707E-2</v>
      </c>
    </row>
    <row r="85" spans="1:7" ht="17.45" hidden="1">
      <c r="A85" s="21" t="s">
        <v>71</v>
      </c>
      <c r="B85" s="21" t="s">
        <v>72</v>
      </c>
      <c r="C85" s="16">
        <v>111358.47199999999</v>
      </c>
      <c r="D85" s="22">
        <v>100512.61199999999</v>
      </c>
      <c r="E85" s="15">
        <v>0.90260408745551035</v>
      </c>
      <c r="F85" s="22">
        <v>10845.86</v>
      </c>
      <c r="G85" s="15">
        <v>9.7395912544489663E-2</v>
      </c>
    </row>
    <row r="86" spans="1:7" ht="17.45" hidden="1">
      <c r="A86" s="21" t="s">
        <v>71</v>
      </c>
      <c r="B86" s="21" t="s">
        <v>73</v>
      </c>
      <c r="C86" s="16">
        <v>111358.47199999999</v>
      </c>
      <c r="D86" s="22">
        <v>75839.047999999995</v>
      </c>
      <c r="E86" s="15">
        <v>0.68103527857314705</v>
      </c>
      <c r="F86" s="22">
        <v>35519.423999999999</v>
      </c>
      <c r="G86" s="15">
        <v>0.31896472142685289</v>
      </c>
    </row>
    <row r="87" spans="1:7" ht="17.45" hidden="1">
      <c r="A87" s="21" t="s">
        <v>71</v>
      </c>
      <c r="B87" s="21" t="s">
        <v>59</v>
      </c>
      <c r="C87" s="16">
        <v>111358.47199999999</v>
      </c>
      <c r="D87" s="22">
        <v>59118.737329999996</v>
      </c>
      <c r="E87" s="15">
        <v>0.53088675040368727</v>
      </c>
      <c r="F87" s="22">
        <v>52239.734669999998</v>
      </c>
      <c r="G87" s="15">
        <v>0.46911324959631273</v>
      </c>
    </row>
    <row r="88" spans="1:7" ht="17.45" hidden="1">
      <c r="A88" s="21" t="s">
        <v>74</v>
      </c>
      <c r="B88" s="21" t="s">
        <v>44</v>
      </c>
      <c r="C88" s="16">
        <v>151459.38978500001</v>
      </c>
      <c r="D88" s="22">
        <v>103148.64253400001</v>
      </c>
      <c r="E88" s="15">
        <v>0.68103167905549999</v>
      </c>
      <c r="F88" s="22">
        <v>48310.747251000001</v>
      </c>
      <c r="G88" s="15">
        <v>0.31896832094449995</v>
      </c>
    </row>
    <row r="89" spans="1:7" ht="17.45" hidden="1">
      <c r="A89" s="21" t="s">
        <v>75</v>
      </c>
      <c r="B89" s="21" t="s">
        <v>41</v>
      </c>
      <c r="C89" s="16">
        <v>62205.500590000003</v>
      </c>
      <c r="D89" s="22">
        <v>40624.876690000005</v>
      </c>
      <c r="E89" s="15">
        <v>0.65307531174390632</v>
      </c>
      <c r="F89" s="22">
        <v>21580.623899999999</v>
      </c>
      <c r="G89" s="15">
        <v>0.34692468825609363</v>
      </c>
    </row>
    <row r="90" spans="1:7" ht="17.45" hidden="1">
      <c r="A90" s="21" t="s">
        <v>75</v>
      </c>
      <c r="B90" s="21" t="s">
        <v>64</v>
      </c>
      <c r="C90" s="16">
        <v>50128.752488999999</v>
      </c>
      <c r="D90" s="22">
        <v>25702.914139999997</v>
      </c>
      <c r="E90" s="15">
        <v>0.51273795703653535</v>
      </c>
      <c r="F90" s="22">
        <v>24425.838349000001</v>
      </c>
      <c r="G90" s="15">
        <v>0.48726204296346465</v>
      </c>
    </row>
    <row r="91" spans="1:7" ht="17.45" hidden="1">
      <c r="A91" s="21" t="s">
        <v>75</v>
      </c>
      <c r="B91" s="21" t="s">
        <v>40</v>
      </c>
      <c r="C91" s="16">
        <v>47136.399436000007</v>
      </c>
      <c r="D91" s="22">
        <v>12743.048740000006</v>
      </c>
      <c r="E91" s="15">
        <v>0.27034412667225527</v>
      </c>
      <c r="F91" s="22">
        <v>34393.350696000001</v>
      </c>
      <c r="G91" s="15">
        <v>0.72965587332774473</v>
      </c>
    </row>
    <row r="92" spans="1:7" ht="17.45" hidden="1">
      <c r="A92" s="21" t="s">
        <v>75</v>
      </c>
      <c r="B92" s="21" t="s">
        <v>76</v>
      </c>
      <c r="C92" s="16">
        <v>45466.197999999997</v>
      </c>
      <c r="D92" s="22">
        <v>3567.6611300000004</v>
      </c>
      <c r="E92" s="15">
        <v>7.8468429007413354E-2</v>
      </c>
      <c r="F92" s="22">
        <v>41898.536869999996</v>
      </c>
      <c r="G92" s="15">
        <v>0.92153157099258665</v>
      </c>
    </row>
    <row r="93" spans="1:7" ht="17.45" hidden="1">
      <c r="A93" s="21" t="s">
        <v>75</v>
      </c>
      <c r="B93" s="21" t="s">
        <v>57</v>
      </c>
      <c r="C93" s="16">
        <v>49147.375522000002</v>
      </c>
      <c r="D93" s="22">
        <v>1355.0294020000074</v>
      </c>
      <c r="E93" s="15">
        <v>2.7570737757776076E-2</v>
      </c>
      <c r="F93" s="22">
        <v>47792.346119999995</v>
      </c>
      <c r="G93" s="15">
        <v>0.97242926224222392</v>
      </c>
    </row>
    <row r="94" spans="1:7" ht="17.45" hidden="1">
      <c r="A94" s="21" t="s">
        <v>75</v>
      </c>
      <c r="B94" s="21" t="s">
        <v>39</v>
      </c>
      <c r="C94" s="16">
        <v>21995.790949999999</v>
      </c>
      <c r="D94" s="22">
        <v>17991.109741</v>
      </c>
      <c r="E94" s="15">
        <v>0.81793420304351461</v>
      </c>
      <c r="F94" s="22">
        <v>4004.6812089999999</v>
      </c>
      <c r="G94" s="15">
        <v>0.18206579695648545</v>
      </c>
    </row>
    <row r="95" spans="1:7" ht="17.45" hidden="1">
      <c r="A95" s="21" t="s">
        <v>75</v>
      </c>
      <c r="B95" s="21" t="s">
        <v>44</v>
      </c>
      <c r="C95" s="16">
        <v>58399.011066999999</v>
      </c>
      <c r="D95" s="22">
        <v>58399.011066999999</v>
      </c>
      <c r="E95" s="15">
        <v>1</v>
      </c>
      <c r="F95" s="22">
        <v>0</v>
      </c>
      <c r="G95" s="15">
        <v>0</v>
      </c>
    </row>
    <row r="96" spans="1:7" ht="17.45" hidden="1">
      <c r="A96" s="21" t="s">
        <v>77</v>
      </c>
      <c r="B96" s="21" t="s">
        <v>63</v>
      </c>
      <c r="C96" s="16">
        <v>4974.72</v>
      </c>
      <c r="D96" s="22">
        <v>4974.72</v>
      </c>
      <c r="E96" s="15">
        <v>1</v>
      </c>
      <c r="F96" s="22">
        <v>0</v>
      </c>
      <c r="G96" s="15">
        <v>0</v>
      </c>
    </row>
    <row r="97" spans="1:7" ht="17.45" hidden="1">
      <c r="A97" s="21" t="s">
        <v>77</v>
      </c>
      <c r="B97" s="21" t="s">
        <v>40</v>
      </c>
      <c r="C97" s="16">
        <v>2429.7957000000001</v>
      </c>
      <c r="D97" s="22">
        <v>1574.6483499999999</v>
      </c>
      <c r="E97" s="15">
        <v>0.64805792108365323</v>
      </c>
      <c r="F97" s="22">
        <v>855.14735000000019</v>
      </c>
      <c r="G97" s="15">
        <v>0.35194207891634682</v>
      </c>
    </row>
    <row r="98" spans="1:7" ht="17.45" hidden="1">
      <c r="A98" s="21" t="s">
        <v>77</v>
      </c>
      <c r="B98" s="21" t="s">
        <v>76</v>
      </c>
      <c r="C98" s="16">
        <v>2346.2930000000001</v>
      </c>
      <c r="D98" s="22">
        <v>133.68000000000029</v>
      </c>
      <c r="E98" s="15">
        <v>5.6974981385530366E-2</v>
      </c>
      <c r="F98" s="22">
        <v>2212.6129999999998</v>
      </c>
      <c r="G98" s="15">
        <v>0.94302501861446963</v>
      </c>
    </row>
    <row r="99" spans="1:7" ht="17.45" hidden="1">
      <c r="A99" s="21" t="s">
        <v>77</v>
      </c>
      <c r="B99" s="21" t="s">
        <v>42</v>
      </c>
      <c r="C99" s="16">
        <v>1741.0399</v>
      </c>
      <c r="D99" s="22">
        <v>0</v>
      </c>
      <c r="E99" s="15">
        <v>0</v>
      </c>
      <c r="F99" s="22">
        <v>1741.0399</v>
      </c>
      <c r="G99" s="15">
        <v>1</v>
      </c>
    </row>
    <row r="100" spans="1:7" ht="17.45" hidden="1">
      <c r="A100" s="21" t="s">
        <v>77</v>
      </c>
      <c r="B100" s="21" t="s">
        <v>64</v>
      </c>
      <c r="C100" s="16">
        <v>1327.8150000000001</v>
      </c>
      <c r="D100" s="22">
        <v>127.971</v>
      </c>
      <c r="E100" s="15">
        <v>9.6377130850306747E-2</v>
      </c>
      <c r="F100" s="22">
        <v>1199.8440000000001</v>
      </c>
      <c r="G100" s="15">
        <v>0.90362286914969325</v>
      </c>
    </row>
    <row r="101" spans="1:7" ht="17.45" hidden="1">
      <c r="A101" s="21" t="s">
        <v>77</v>
      </c>
      <c r="B101" s="21" t="s">
        <v>44</v>
      </c>
      <c r="C101" s="16">
        <v>1318.697707</v>
      </c>
      <c r="D101" s="22">
        <v>587.16825700000015</v>
      </c>
      <c r="E101" s="15">
        <v>0.44526372790606528</v>
      </c>
      <c r="F101" s="22">
        <v>731.52944999999988</v>
      </c>
      <c r="G101" s="15">
        <v>0.55473627209393472</v>
      </c>
    </row>
    <row r="102" spans="1:7" ht="17.45" hidden="1">
      <c r="A102" s="21" t="s">
        <v>78</v>
      </c>
      <c r="B102" s="21" t="s">
        <v>63</v>
      </c>
      <c r="C102" s="16">
        <v>141949.39000000001</v>
      </c>
      <c r="D102" s="22">
        <v>139861.81679700001</v>
      </c>
      <c r="E102" s="15">
        <v>0.98529353875349512</v>
      </c>
      <c r="F102" s="22">
        <v>2087.5732029999999</v>
      </c>
      <c r="G102" s="15">
        <v>1.4706461246504826E-2</v>
      </c>
    </row>
    <row r="103" spans="1:7" ht="17.45" hidden="1">
      <c r="A103" s="21" t="s">
        <v>78</v>
      </c>
      <c r="B103" s="21" t="s">
        <v>42</v>
      </c>
      <c r="C103" s="16">
        <v>203605.52340999999</v>
      </c>
      <c r="D103" s="22">
        <v>28817.239464999991</v>
      </c>
      <c r="E103" s="15">
        <v>0.14153466459242747</v>
      </c>
      <c r="F103" s="22">
        <v>174788.283945</v>
      </c>
      <c r="G103" s="15">
        <v>0.85846533540757253</v>
      </c>
    </row>
    <row r="104" spans="1:7" ht="17.45" hidden="1">
      <c r="A104" s="21" t="s">
        <v>78</v>
      </c>
      <c r="B104" s="21" t="s">
        <v>39</v>
      </c>
      <c r="C104" s="16">
        <v>110203.02701600001</v>
      </c>
      <c r="D104" s="22">
        <v>110203.02701600001</v>
      </c>
      <c r="E104" s="15">
        <v>1</v>
      </c>
      <c r="F104" s="22">
        <v>0</v>
      </c>
      <c r="G104" s="15">
        <v>0</v>
      </c>
    </row>
    <row r="105" spans="1:7" ht="17.45" hidden="1">
      <c r="A105" s="21" t="s">
        <v>78</v>
      </c>
      <c r="B105" s="21" t="s">
        <v>79</v>
      </c>
      <c r="C105" s="16">
        <v>114500.13934099999</v>
      </c>
      <c r="D105" s="22">
        <v>24044.433147999982</v>
      </c>
      <c r="E105" s="15">
        <v>0.20999479377393382</v>
      </c>
      <c r="F105" s="22">
        <v>90455.706193000005</v>
      </c>
      <c r="G105" s="15">
        <v>0.79000520622606618</v>
      </c>
    </row>
    <row r="106" spans="1:7" ht="17.45" hidden="1">
      <c r="A106" s="21" t="s">
        <v>78</v>
      </c>
      <c r="B106" s="21" t="s">
        <v>44</v>
      </c>
      <c r="C106" s="16">
        <v>97519.702453999998</v>
      </c>
      <c r="D106" s="22">
        <v>77811.866456000003</v>
      </c>
      <c r="E106" s="15">
        <v>0.79790918653288367</v>
      </c>
      <c r="F106" s="22">
        <v>19707.835997999999</v>
      </c>
      <c r="G106" s="15">
        <v>0.20209081346711633</v>
      </c>
    </row>
    <row r="107" spans="1:7" ht="17.45" hidden="1">
      <c r="A107" s="21" t="s">
        <v>80</v>
      </c>
      <c r="B107" s="21" t="s">
        <v>39</v>
      </c>
      <c r="C107" s="16">
        <v>95531.55</v>
      </c>
      <c r="D107" s="22">
        <v>95531.55</v>
      </c>
      <c r="E107" s="15">
        <v>1</v>
      </c>
      <c r="F107" s="22">
        <v>0</v>
      </c>
      <c r="G107" s="15">
        <v>0</v>
      </c>
    </row>
    <row r="108" spans="1:7" ht="17.45" hidden="1">
      <c r="A108" s="21" t="s">
        <v>80</v>
      </c>
      <c r="B108" s="21" t="s">
        <v>81</v>
      </c>
      <c r="C108" s="16">
        <v>58235.572</v>
      </c>
      <c r="D108" s="22">
        <v>3677.9510000000009</v>
      </c>
      <c r="E108" s="15">
        <v>6.3156432978798582E-2</v>
      </c>
      <c r="F108" s="22">
        <v>54557.620999999999</v>
      </c>
      <c r="G108" s="15">
        <v>0.93684356702120142</v>
      </c>
    </row>
    <row r="109" spans="1:7" ht="17.45" hidden="1">
      <c r="A109" s="21" t="s">
        <v>80</v>
      </c>
      <c r="B109" s="21" t="s">
        <v>82</v>
      </c>
      <c r="C109" s="16">
        <v>31835.315999999999</v>
      </c>
      <c r="D109" s="22">
        <v>12963.760999999999</v>
      </c>
      <c r="E109" s="15">
        <v>0.40721320309809395</v>
      </c>
      <c r="F109" s="22">
        <v>18871.555</v>
      </c>
      <c r="G109" s="15">
        <v>0.59278679690190605</v>
      </c>
    </row>
    <row r="110" spans="1:7" ht="17.45" hidden="1">
      <c r="A110" s="21" t="s">
        <v>80</v>
      </c>
      <c r="B110" s="21" t="s">
        <v>44</v>
      </c>
      <c r="C110" s="16">
        <v>200930.22380000001</v>
      </c>
      <c r="D110" s="22">
        <v>172873.48623500002</v>
      </c>
      <c r="E110" s="15">
        <v>0.86036576760633654</v>
      </c>
      <c r="F110" s="22">
        <v>28056.737565000003</v>
      </c>
      <c r="G110" s="15">
        <v>0.13963423239366343</v>
      </c>
    </row>
    <row r="111" spans="1:7" ht="17.45" hidden="1">
      <c r="A111" s="21" t="s">
        <v>80</v>
      </c>
      <c r="B111" s="21" t="s">
        <v>54</v>
      </c>
      <c r="C111" s="16">
        <v>27898.954000000002</v>
      </c>
      <c r="D111" s="22">
        <v>27898.954000000002</v>
      </c>
      <c r="E111" s="15">
        <v>1</v>
      </c>
      <c r="F111" s="22">
        <v>0</v>
      </c>
      <c r="G111" s="15">
        <v>0</v>
      </c>
    </row>
    <row r="112" spans="1:7" ht="17.45" hidden="1">
      <c r="A112" s="21" t="s">
        <v>80</v>
      </c>
      <c r="B112" s="21" t="s">
        <v>45</v>
      </c>
      <c r="C112" s="16">
        <v>27898.954000000002</v>
      </c>
      <c r="D112" s="22">
        <v>27879.845000000001</v>
      </c>
      <c r="E112" s="15">
        <v>0.99931506392676939</v>
      </c>
      <c r="F112" s="22">
        <v>19.109000000000002</v>
      </c>
      <c r="G112" s="15">
        <v>6.8493607323055913E-4</v>
      </c>
    </row>
    <row r="113" spans="1:7" ht="17.45" hidden="1">
      <c r="A113" s="21" t="s">
        <v>80</v>
      </c>
      <c r="B113" s="21" t="s">
        <v>83</v>
      </c>
      <c r="C113" s="16">
        <v>27898.954000000002</v>
      </c>
      <c r="D113" s="22">
        <v>23907.170000000002</v>
      </c>
      <c r="E113" s="15">
        <v>0.85691994043934405</v>
      </c>
      <c r="F113" s="22">
        <v>3991.7840000000001</v>
      </c>
      <c r="G113" s="15">
        <v>0.14308005956065592</v>
      </c>
    </row>
    <row r="114" spans="1:7" ht="17.45" hidden="1">
      <c r="A114" s="21" t="s">
        <v>84</v>
      </c>
      <c r="B114" s="21" t="s">
        <v>40</v>
      </c>
      <c r="C114" s="16">
        <v>32114.36</v>
      </c>
      <c r="D114" s="22">
        <v>32192.210776</v>
      </c>
      <c r="E114" s="15">
        <v>1.0024241733604531</v>
      </c>
      <c r="F114" s="22">
        <v>-77.850775999999996</v>
      </c>
      <c r="G114" s="15">
        <v>-2.4241733604530805E-3</v>
      </c>
    </row>
    <row r="115" spans="1:7" ht="17.45" hidden="1">
      <c r="A115" s="21" t="s">
        <v>84</v>
      </c>
      <c r="B115" s="21" t="s">
        <v>42</v>
      </c>
      <c r="C115" s="16">
        <v>7385.3743569999997</v>
      </c>
      <c r="D115" s="22">
        <v>4643.0235439999997</v>
      </c>
      <c r="E115" s="15">
        <v>0.62867815760744095</v>
      </c>
      <c r="F115" s="22">
        <v>2742.3508130000005</v>
      </c>
      <c r="G115" s="15">
        <v>0.371321842392559</v>
      </c>
    </row>
    <row r="116" spans="1:7" ht="17.45" hidden="1">
      <c r="A116" s="21" t="s">
        <v>84</v>
      </c>
      <c r="B116" s="21" t="s">
        <v>79</v>
      </c>
      <c r="C116" s="16">
        <v>4619.51</v>
      </c>
      <c r="D116" s="22">
        <v>2275.838432</v>
      </c>
      <c r="E116" s="15">
        <v>0.49265797281529855</v>
      </c>
      <c r="F116" s="22">
        <v>2343.6715680000002</v>
      </c>
      <c r="G116" s="15">
        <v>0.50734202718470145</v>
      </c>
    </row>
    <row r="117" spans="1:7" ht="17.45" hidden="1">
      <c r="A117" s="21" t="s">
        <v>84</v>
      </c>
      <c r="B117" s="21" t="s">
        <v>44</v>
      </c>
      <c r="C117" s="16">
        <v>5211.5200000000004</v>
      </c>
      <c r="D117" s="22">
        <v>2880.6322100000007</v>
      </c>
      <c r="E117" s="15">
        <v>0.55274319392422955</v>
      </c>
      <c r="F117" s="22">
        <v>2330.8877899999998</v>
      </c>
      <c r="G117" s="15">
        <v>0.44725680607577051</v>
      </c>
    </row>
    <row r="118" spans="1:7" ht="17.45" hidden="1">
      <c r="A118" s="21" t="s">
        <v>84</v>
      </c>
      <c r="B118" s="21" t="s">
        <v>83</v>
      </c>
      <c r="C118" s="16">
        <v>1302.8800000000001</v>
      </c>
      <c r="D118" s="22">
        <v>1302.8800000000001</v>
      </c>
      <c r="E118" s="15">
        <v>1</v>
      </c>
      <c r="F118" s="22">
        <v>0</v>
      </c>
      <c r="G118" s="15">
        <v>0</v>
      </c>
    </row>
    <row r="119" spans="1:7" ht="17.45" hidden="1">
      <c r="A119" s="21" t="s">
        <v>84</v>
      </c>
      <c r="B119" s="21" t="s">
        <v>48</v>
      </c>
      <c r="C119" s="16">
        <v>1302.8800000000001</v>
      </c>
      <c r="D119" s="22">
        <v>1302.8800000000001</v>
      </c>
      <c r="E119" s="15">
        <v>1</v>
      </c>
      <c r="F119" s="22">
        <v>0</v>
      </c>
      <c r="G119" s="15">
        <v>0</v>
      </c>
    </row>
    <row r="120" spans="1:7" ht="17.45" hidden="1">
      <c r="A120" s="21" t="s">
        <v>84</v>
      </c>
      <c r="B120" s="21" t="s">
        <v>51</v>
      </c>
      <c r="C120" s="16">
        <v>1302.8800000000001</v>
      </c>
      <c r="D120" s="22">
        <v>211.84280600000011</v>
      </c>
      <c r="E120" s="15">
        <v>0.16259579239837907</v>
      </c>
      <c r="F120" s="22">
        <v>1091.037194</v>
      </c>
      <c r="G120" s="15">
        <v>0.83740420760162093</v>
      </c>
    </row>
    <row r="121" spans="1:7" ht="17.45" hidden="1">
      <c r="A121" s="21" t="s">
        <v>85</v>
      </c>
      <c r="B121" s="21" t="s">
        <v>40</v>
      </c>
      <c r="C121" s="16">
        <v>8237.5429000000004</v>
      </c>
      <c r="D121" s="22">
        <v>5912.625997000001</v>
      </c>
      <c r="E121" s="15">
        <v>0.71776573048256909</v>
      </c>
      <c r="F121" s="22">
        <v>2324.9169029999998</v>
      </c>
      <c r="G121" s="15">
        <v>0.28223426951743097</v>
      </c>
    </row>
    <row r="122" spans="1:7" ht="17.45" hidden="1">
      <c r="A122" s="21" t="s">
        <v>85</v>
      </c>
      <c r="B122" s="21" t="s">
        <v>64</v>
      </c>
      <c r="C122" s="16">
        <v>7218.9277999999995</v>
      </c>
      <c r="D122" s="22">
        <v>2807.7129999999997</v>
      </c>
      <c r="E122" s="15">
        <v>0.38893767575844163</v>
      </c>
      <c r="F122" s="22">
        <v>4411.2147999999997</v>
      </c>
      <c r="G122" s="15">
        <v>0.61106232424155837</v>
      </c>
    </row>
    <row r="123" spans="1:7" ht="17.45" hidden="1">
      <c r="A123" s="21" t="s">
        <v>85</v>
      </c>
      <c r="B123" s="21" t="s">
        <v>42</v>
      </c>
      <c r="C123" s="16">
        <v>16307.411699999999</v>
      </c>
      <c r="D123" s="22">
        <v>10056.078525999998</v>
      </c>
      <c r="E123" s="15">
        <v>0.61665693556997758</v>
      </c>
      <c r="F123" s="22">
        <v>6251.3331740000003</v>
      </c>
      <c r="G123" s="15">
        <v>0.38334306443002236</v>
      </c>
    </row>
    <row r="124" spans="1:7" ht="17.45" hidden="1">
      <c r="A124" s="21" t="s">
        <v>85</v>
      </c>
      <c r="B124" s="21" t="s">
        <v>41</v>
      </c>
      <c r="C124" s="16">
        <v>2847.6729</v>
      </c>
      <c r="D124" s="22">
        <v>1023.8244</v>
      </c>
      <c r="E124" s="15">
        <v>0.3595301974464834</v>
      </c>
      <c r="F124" s="22">
        <v>1823.8485000000001</v>
      </c>
      <c r="G124" s="15">
        <v>0.6404698025535166</v>
      </c>
    </row>
    <row r="125" spans="1:7" ht="17.45" hidden="1">
      <c r="A125" s="21" t="s">
        <v>85</v>
      </c>
      <c r="B125" s="21" t="s">
        <v>56</v>
      </c>
      <c r="C125" s="16">
        <v>1932.098</v>
      </c>
      <c r="D125" s="22">
        <v>1511.096</v>
      </c>
      <c r="E125" s="15">
        <v>0.78210111495379631</v>
      </c>
      <c r="F125" s="22">
        <v>421.00200000000001</v>
      </c>
      <c r="G125" s="15">
        <v>0.21789888504620367</v>
      </c>
    </row>
    <row r="126" spans="1:7" ht="17.45" hidden="1">
      <c r="A126" s="21" t="s">
        <v>85</v>
      </c>
      <c r="B126" s="21" t="s">
        <v>44</v>
      </c>
      <c r="C126" s="16">
        <v>1568.1793599999999</v>
      </c>
      <c r="D126" s="22">
        <v>55.495999999999867</v>
      </c>
      <c r="E126" s="15">
        <v>3.538880909642883E-2</v>
      </c>
      <c r="F126" s="22">
        <v>1512.68336</v>
      </c>
      <c r="G126" s="15">
        <v>0.96461119090357117</v>
      </c>
    </row>
    <row r="127" spans="1:7" ht="17.45" hidden="1">
      <c r="A127" s="21" t="s">
        <v>86</v>
      </c>
      <c r="B127" s="21" t="s">
        <v>42</v>
      </c>
      <c r="C127" s="16">
        <v>251585.14273000002</v>
      </c>
      <c r="D127" s="22">
        <v>172784.97519000003</v>
      </c>
      <c r="E127" s="15">
        <v>0.68678528992243404</v>
      </c>
      <c r="F127" s="22">
        <v>78800.167540000009</v>
      </c>
      <c r="G127" s="15">
        <v>0.31321471007756596</v>
      </c>
    </row>
    <row r="128" spans="1:7" ht="17.45" hidden="1">
      <c r="A128" s="21" t="s">
        <v>86</v>
      </c>
      <c r="B128" s="21" t="s">
        <v>79</v>
      </c>
      <c r="C128" s="16">
        <v>179073.23111000002</v>
      </c>
      <c r="D128" s="22">
        <v>107154.27811000003</v>
      </c>
      <c r="E128" s="15">
        <v>0.59838244636451521</v>
      </c>
      <c r="F128" s="22">
        <v>71918.952999999994</v>
      </c>
      <c r="G128" s="15">
        <v>0.40161755363548479</v>
      </c>
    </row>
    <row r="129" spans="1:7" ht="17.45" hidden="1">
      <c r="A129" s="21" t="s">
        <v>86</v>
      </c>
      <c r="B129" s="21" t="s">
        <v>39</v>
      </c>
      <c r="C129" s="16">
        <v>99231.62</v>
      </c>
      <c r="D129" s="22">
        <v>99231.410391999991</v>
      </c>
      <c r="E129" s="15">
        <v>0.99999788768942799</v>
      </c>
      <c r="F129" s="22">
        <v>0.20960800000000002</v>
      </c>
      <c r="G129" s="15">
        <v>2.1123105719729258E-6</v>
      </c>
    </row>
    <row r="130" spans="1:7" ht="17.45" hidden="1">
      <c r="A130" s="21" t="s">
        <v>86</v>
      </c>
      <c r="B130" s="21" t="s">
        <v>82</v>
      </c>
      <c r="C130" s="16">
        <v>72670.756999999998</v>
      </c>
      <c r="D130" s="22">
        <v>38422.393000000004</v>
      </c>
      <c r="E130" s="15">
        <v>0.52871876647714022</v>
      </c>
      <c r="F130" s="22">
        <v>34248.363999999994</v>
      </c>
      <c r="G130" s="15">
        <v>0.47128123352285978</v>
      </c>
    </row>
    <row r="131" spans="1:7" ht="17.45" hidden="1">
      <c r="A131" s="21" t="s">
        <v>86</v>
      </c>
      <c r="B131" s="21" t="s">
        <v>44</v>
      </c>
      <c r="C131" s="16">
        <v>101704.89</v>
      </c>
      <c r="D131" s="22">
        <v>80266.938999999998</v>
      </c>
      <c r="E131" s="15">
        <v>0.78921415676276729</v>
      </c>
      <c r="F131" s="22">
        <v>21437.951000000001</v>
      </c>
      <c r="G131" s="15">
        <v>0.21078584323723276</v>
      </c>
    </row>
    <row r="132" spans="1:7" ht="17.45" hidden="1">
      <c r="A132" s="21" t="s">
        <v>86</v>
      </c>
      <c r="B132" s="21" t="s">
        <v>87</v>
      </c>
      <c r="C132" s="16">
        <v>15255.734</v>
      </c>
      <c r="D132" s="22">
        <v>13968.550000000001</v>
      </c>
      <c r="E132" s="15">
        <v>0.91562621634593266</v>
      </c>
      <c r="F132" s="22">
        <v>1287.184</v>
      </c>
      <c r="G132" s="15">
        <v>8.4373783654067377E-2</v>
      </c>
    </row>
    <row r="133" spans="1:7" ht="17.45" hidden="1">
      <c r="A133" s="21" t="s">
        <v>86</v>
      </c>
      <c r="B133" s="21" t="s">
        <v>54</v>
      </c>
      <c r="C133" s="16">
        <v>15255.734</v>
      </c>
      <c r="D133" s="22">
        <v>15255.734</v>
      </c>
      <c r="E133" s="15">
        <v>1</v>
      </c>
      <c r="F133" s="22">
        <v>0</v>
      </c>
      <c r="G133" s="15">
        <v>0</v>
      </c>
    </row>
    <row r="134" spans="1:7" ht="17.45" hidden="1">
      <c r="A134" s="21" t="s">
        <v>86</v>
      </c>
      <c r="B134" s="21" t="s">
        <v>45</v>
      </c>
      <c r="C134" s="16">
        <v>15255.734</v>
      </c>
      <c r="D134" s="22">
        <v>15255.734</v>
      </c>
      <c r="E134" s="15">
        <v>1</v>
      </c>
      <c r="F134" s="22">
        <v>0</v>
      </c>
      <c r="G134" s="15">
        <v>0</v>
      </c>
    </row>
    <row r="135" spans="1:7" ht="17.45" hidden="1">
      <c r="A135" s="21" t="s">
        <v>86</v>
      </c>
      <c r="B135" s="21" t="s">
        <v>88</v>
      </c>
      <c r="C135" s="16">
        <v>15255.734</v>
      </c>
      <c r="D135" s="22">
        <v>1186.2700000000004</v>
      </c>
      <c r="E135" s="15">
        <v>7.7758959352594914E-2</v>
      </c>
      <c r="F135" s="22">
        <v>14069.464</v>
      </c>
      <c r="G135" s="15">
        <v>0.92224104064740509</v>
      </c>
    </row>
    <row r="136" spans="1:7" ht="17.45" hidden="1">
      <c r="A136" s="21" t="s">
        <v>86</v>
      </c>
      <c r="B136" s="21" t="s">
        <v>73</v>
      </c>
      <c r="C136" s="16">
        <v>15255.734</v>
      </c>
      <c r="D136" s="22">
        <v>9429.7330000000002</v>
      </c>
      <c r="E136" s="15">
        <v>0.61811073790353188</v>
      </c>
      <c r="F136" s="22">
        <v>5826.0010000000002</v>
      </c>
      <c r="G136" s="15">
        <v>0.38188926209646812</v>
      </c>
    </row>
    <row r="137" spans="1:7" ht="17.45" hidden="1">
      <c r="A137" s="21" t="s">
        <v>86</v>
      </c>
      <c r="B137" s="21" t="s">
        <v>47</v>
      </c>
      <c r="C137" s="16">
        <v>15255.734</v>
      </c>
      <c r="D137" s="22">
        <v>1431.5969999999998</v>
      </c>
      <c r="E137" s="15">
        <v>9.3839929301336777E-2</v>
      </c>
      <c r="F137" s="22">
        <v>13824.137000000001</v>
      </c>
      <c r="G137" s="15">
        <v>0.90616007069866322</v>
      </c>
    </row>
    <row r="138" spans="1:7" ht="17.45" hidden="1">
      <c r="A138" s="21" t="s">
        <v>86</v>
      </c>
      <c r="B138" s="21" t="s">
        <v>72</v>
      </c>
      <c r="C138" s="16">
        <v>15255.734</v>
      </c>
      <c r="D138" s="22">
        <v>10359.573</v>
      </c>
      <c r="E138" s="15">
        <v>0.67906093538337786</v>
      </c>
      <c r="F138" s="22">
        <v>4896.1610000000001</v>
      </c>
      <c r="G138" s="15">
        <v>0.32093906461662219</v>
      </c>
    </row>
    <row r="139" spans="1:7" ht="17.45" hidden="1">
      <c r="A139" s="21" t="s">
        <v>86</v>
      </c>
      <c r="B139" s="21" t="s">
        <v>89</v>
      </c>
      <c r="C139" s="16">
        <v>15255.734</v>
      </c>
      <c r="D139" s="22">
        <v>5330.4200000000019</v>
      </c>
      <c r="E139" s="15">
        <v>0.34940436166493216</v>
      </c>
      <c r="F139" s="22">
        <v>9925.3139999999985</v>
      </c>
      <c r="G139" s="15">
        <v>0.65059563833506784</v>
      </c>
    </row>
    <row r="140" spans="1:7" ht="17.45" hidden="1">
      <c r="A140" s="21" t="s">
        <v>86</v>
      </c>
      <c r="B140" s="21" t="s">
        <v>46</v>
      </c>
      <c r="C140" s="16">
        <v>15255.734</v>
      </c>
      <c r="D140" s="22">
        <v>8373.4629999999997</v>
      </c>
      <c r="E140" s="15">
        <v>0.5488731646736893</v>
      </c>
      <c r="F140" s="22">
        <v>6882.2709999999997</v>
      </c>
      <c r="G140" s="15">
        <v>0.4511268353263107</v>
      </c>
    </row>
    <row r="141" spans="1:7" ht="17.45" hidden="1">
      <c r="A141" s="21" t="s">
        <v>90</v>
      </c>
      <c r="B141" s="21" t="s">
        <v>42</v>
      </c>
      <c r="C141" s="16">
        <v>27506.58</v>
      </c>
      <c r="D141" s="22">
        <v>11461.849794000002</v>
      </c>
      <c r="E141" s="15">
        <v>0.41669483425420395</v>
      </c>
      <c r="F141" s="22">
        <v>16044.730206</v>
      </c>
      <c r="G141" s="15">
        <v>0.58330516574579605</v>
      </c>
    </row>
    <row r="142" spans="1:7" ht="17.45" hidden="1">
      <c r="A142" s="21" t="s">
        <v>90</v>
      </c>
      <c r="B142" s="21" t="s">
        <v>39</v>
      </c>
      <c r="C142" s="16">
        <v>22892.27</v>
      </c>
      <c r="D142" s="22">
        <v>21863.213800000001</v>
      </c>
      <c r="E142" s="15">
        <v>0.95504787423877147</v>
      </c>
      <c r="F142" s="22">
        <v>1029.0562</v>
      </c>
      <c r="G142" s="15">
        <v>4.4952125761228569E-2</v>
      </c>
    </row>
    <row r="143" spans="1:7" ht="17.45" hidden="1">
      <c r="A143" s="21" t="s">
        <v>90</v>
      </c>
      <c r="B143" s="21" t="s">
        <v>41</v>
      </c>
      <c r="C143" s="16">
        <v>5335.16</v>
      </c>
      <c r="D143" s="22">
        <v>3312.8359999999998</v>
      </c>
      <c r="E143" s="15">
        <v>0.62094407665374607</v>
      </c>
      <c r="F143" s="22">
        <v>2022.3240000000001</v>
      </c>
      <c r="G143" s="15">
        <v>0.37905592334625393</v>
      </c>
    </row>
    <row r="144" spans="1:7" ht="17.45" hidden="1">
      <c r="A144" s="21" t="s">
        <v>90</v>
      </c>
      <c r="B144" s="21" t="s">
        <v>44</v>
      </c>
      <c r="C144" s="23">
        <v>68289.440000000002</v>
      </c>
      <c r="D144" s="22">
        <v>5117.0580000000045</v>
      </c>
      <c r="E144" s="24">
        <v>7.4931907480863869E-2</v>
      </c>
      <c r="F144" s="22">
        <v>63172.381999999998</v>
      </c>
      <c r="G144" s="24">
        <v>0.92506809251913613</v>
      </c>
    </row>
    <row r="145" spans="1:7" ht="17.45" hidden="1">
      <c r="A145" s="21" t="s">
        <v>90</v>
      </c>
      <c r="B145" s="21" t="s">
        <v>83</v>
      </c>
      <c r="C145" s="23">
        <v>5022.1760000000004</v>
      </c>
      <c r="D145" s="22">
        <v>5022.1760000000004</v>
      </c>
      <c r="E145" s="24">
        <v>1</v>
      </c>
      <c r="F145" s="22">
        <v>0</v>
      </c>
      <c r="G145" s="24">
        <v>0</v>
      </c>
    </row>
    <row r="146" spans="1:7" ht="17.45" hidden="1">
      <c r="A146" s="21" t="s">
        <v>90</v>
      </c>
      <c r="B146" s="21" t="s">
        <v>50</v>
      </c>
      <c r="C146" s="23">
        <v>5022.1760000000004</v>
      </c>
      <c r="D146" s="22">
        <v>15.680000000000291</v>
      </c>
      <c r="E146" s="24">
        <v>3.1221526286614454E-3</v>
      </c>
      <c r="F146" s="22">
        <v>5006.4960000000001</v>
      </c>
      <c r="G146" s="24">
        <v>0.99687784737133855</v>
      </c>
    </row>
    <row r="147" spans="1:7" ht="17.45" hidden="1">
      <c r="A147" s="21" t="s">
        <v>90</v>
      </c>
      <c r="B147" s="21" t="s">
        <v>91</v>
      </c>
      <c r="C147" s="23">
        <v>5022.1760000000004</v>
      </c>
      <c r="D147" s="22">
        <v>50.003000000000611</v>
      </c>
      <c r="E147" s="24">
        <v>9.9564411920252116E-3</v>
      </c>
      <c r="F147" s="22">
        <v>4972.1729999999998</v>
      </c>
      <c r="G147" s="24">
        <v>0.99004355880797479</v>
      </c>
    </row>
    <row r="148" spans="1:7" ht="17.45" hidden="1">
      <c r="A148" s="21" t="s">
        <v>92</v>
      </c>
      <c r="B148" s="21" t="s">
        <v>63</v>
      </c>
      <c r="C148" s="23">
        <v>7085.6727999999994</v>
      </c>
      <c r="D148" s="22">
        <v>7085.6727999999994</v>
      </c>
      <c r="E148" s="24">
        <v>1</v>
      </c>
      <c r="F148" s="22">
        <v>0</v>
      </c>
      <c r="G148" s="24">
        <v>0</v>
      </c>
    </row>
    <row r="149" spans="1:7" ht="17.45" hidden="1">
      <c r="A149" s="21" t="s">
        <v>92</v>
      </c>
      <c r="B149" s="21" t="s">
        <v>93</v>
      </c>
      <c r="C149" s="23">
        <v>7010.88</v>
      </c>
      <c r="D149" s="22">
        <v>7007.4580000000005</v>
      </c>
      <c r="E149" s="24">
        <v>0.99951190150166602</v>
      </c>
      <c r="F149" s="22">
        <v>3.4220000000000002</v>
      </c>
      <c r="G149" s="24">
        <v>4.88098498334018E-4</v>
      </c>
    </row>
    <row r="150" spans="1:7" ht="17.45" hidden="1">
      <c r="A150" s="21" t="s">
        <v>92</v>
      </c>
      <c r="B150" s="21" t="s">
        <v>42</v>
      </c>
      <c r="C150" s="23">
        <v>1762.7364</v>
      </c>
      <c r="D150" s="22">
        <v>854.22359999999992</v>
      </c>
      <c r="E150" s="24">
        <v>0.48460087395937357</v>
      </c>
      <c r="F150" s="22">
        <v>908.51280000000008</v>
      </c>
      <c r="G150" s="24">
        <v>0.51539912604062643</v>
      </c>
    </row>
    <row r="151" spans="1:7" ht="17.45" hidden="1">
      <c r="A151" s="21" t="s">
        <v>92</v>
      </c>
      <c r="B151" s="21" t="s">
        <v>44</v>
      </c>
      <c r="C151" s="23">
        <v>340.42</v>
      </c>
      <c r="D151" s="22">
        <v>2.8000000000020009E-2</v>
      </c>
      <c r="E151" s="24">
        <v>8.2251336584238111E-5</v>
      </c>
      <c r="F151" s="22">
        <v>340.392</v>
      </c>
      <c r="G151" s="24">
        <v>0.99991774866341576</v>
      </c>
    </row>
    <row r="152" spans="1:7" ht="17.45" hidden="1">
      <c r="A152" s="21" t="s">
        <v>94</v>
      </c>
      <c r="B152" s="21" t="s">
        <v>42</v>
      </c>
      <c r="C152" s="23">
        <v>6603.3797400000003</v>
      </c>
      <c r="D152" s="22">
        <v>2626.1374900000005</v>
      </c>
      <c r="E152" s="24">
        <v>0.39769596682319541</v>
      </c>
      <c r="F152" s="22">
        <v>3977.2422499999998</v>
      </c>
      <c r="G152" s="24">
        <v>0.60230403317680459</v>
      </c>
    </row>
    <row r="153" spans="1:7" ht="17.45" hidden="1">
      <c r="A153" s="21" t="s">
        <v>94</v>
      </c>
      <c r="B153" s="21" t="s">
        <v>39</v>
      </c>
      <c r="C153" s="23">
        <v>1669.6496000000002</v>
      </c>
      <c r="D153" s="22">
        <v>1146.8027400000001</v>
      </c>
      <c r="E153" s="24">
        <v>0.68685234315032329</v>
      </c>
      <c r="F153" s="22">
        <v>522.84685999999999</v>
      </c>
      <c r="G153" s="24">
        <v>0.31314765684967666</v>
      </c>
    </row>
    <row r="154" spans="1:7" ht="17.45" hidden="1">
      <c r="A154" s="21" t="s">
        <v>94</v>
      </c>
      <c r="B154" s="21" t="s">
        <v>63</v>
      </c>
      <c r="C154" s="23">
        <v>2368.5022000000004</v>
      </c>
      <c r="D154" s="22">
        <v>1510.3100800000002</v>
      </c>
      <c r="E154" s="24">
        <v>0.63766463041495181</v>
      </c>
      <c r="F154" s="22">
        <v>858.19212000000005</v>
      </c>
      <c r="G154" s="24">
        <v>0.36233536958504825</v>
      </c>
    </row>
    <row r="155" spans="1:7" ht="17.45" hidden="1">
      <c r="A155" s="21" t="s">
        <v>94</v>
      </c>
      <c r="B155" s="21" t="s">
        <v>44</v>
      </c>
      <c r="C155" s="23">
        <v>998.40131000000008</v>
      </c>
      <c r="D155" s="22">
        <v>111.49416000000008</v>
      </c>
      <c r="E155" s="24">
        <v>0.11167269001279667</v>
      </c>
      <c r="F155" s="22">
        <v>886.90715</v>
      </c>
      <c r="G155" s="24">
        <v>0.88832730998720333</v>
      </c>
    </row>
    <row r="156" spans="1:7" ht="17.45" hidden="1">
      <c r="A156" s="21" t="s">
        <v>95</v>
      </c>
      <c r="B156" s="21" t="s">
        <v>39</v>
      </c>
      <c r="C156" s="23">
        <v>50026.06</v>
      </c>
      <c r="D156" s="22">
        <v>50025.497129999996</v>
      </c>
      <c r="E156" s="24">
        <v>0.99998874846430041</v>
      </c>
      <c r="F156" s="22">
        <v>0.56286999999999998</v>
      </c>
      <c r="G156" s="24">
        <v>1.1251535699593373E-5</v>
      </c>
    </row>
    <row r="157" spans="1:7" ht="17.45" hidden="1">
      <c r="A157" s="21" t="s">
        <v>95</v>
      </c>
      <c r="B157" s="21" t="s">
        <v>40</v>
      </c>
      <c r="C157" s="23">
        <v>19251.599999999999</v>
      </c>
      <c r="D157" s="22">
        <v>19251.599999999999</v>
      </c>
      <c r="E157" s="24">
        <v>1</v>
      </c>
      <c r="F157" s="22">
        <v>0</v>
      </c>
      <c r="G157" s="24">
        <v>0</v>
      </c>
    </row>
    <row r="158" spans="1:7" ht="17.45" hidden="1">
      <c r="A158" s="21" t="s">
        <v>95</v>
      </c>
      <c r="B158" s="21" t="s">
        <v>96</v>
      </c>
      <c r="C158" s="23">
        <v>7110.48</v>
      </c>
      <c r="D158" s="22">
        <v>6942.6962799999992</v>
      </c>
      <c r="E158" s="24">
        <v>0.97640332016966502</v>
      </c>
      <c r="F158" s="22">
        <v>167.78371999999999</v>
      </c>
      <c r="G158" s="24">
        <v>2.3596679830334942E-2</v>
      </c>
    </row>
    <row r="159" spans="1:7" ht="17.45" hidden="1">
      <c r="A159" s="21" t="s">
        <v>95</v>
      </c>
      <c r="B159" s="21" t="s">
        <v>42</v>
      </c>
      <c r="C159" s="23">
        <v>9029.8928000000014</v>
      </c>
      <c r="D159" s="22">
        <v>6752.3084490000019</v>
      </c>
      <c r="E159" s="24">
        <v>0.74777282505502174</v>
      </c>
      <c r="F159" s="22">
        <v>2277.584351</v>
      </c>
      <c r="G159" s="24">
        <v>0.25222717494497826</v>
      </c>
    </row>
    <row r="160" spans="1:7" ht="17.45" hidden="1">
      <c r="A160" s="21" t="s">
        <v>95</v>
      </c>
      <c r="B160" s="21" t="s">
        <v>44</v>
      </c>
      <c r="C160" s="23">
        <v>11240.65</v>
      </c>
      <c r="D160" s="22">
        <v>6764.3534849999996</v>
      </c>
      <c r="E160" s="24">
        <v>0.60177600806003206</v>
      </c>
      <c r="F160" s="22">
        <v>4476.296515</v>
      </c>
      <c r="G160" s="24">
        <v>0.39822399193996788</v>
      </c>
    </row>
    <row r="161" spans="1:7" ht="17.45" hidden="1">
      <c r="A161" s="21" t="s">
        <v>95</v>
      </c>
      <c r="B161" s="21" t="s">
        <v>91</v>
      </c>
      <c r="C161" s="23">
        <v>3372.1950000000002</v>
      </c>
      <c r="D161" s="22">
        <v>3372.1950000000002</v>
      </c>
      <c r="E161" s="24">
        <v>1</v>
      </c>
      <c r="F161" s="22">
        <v>0</v>
      </c>
      <c r="G161" s="24">
        <v>0</v>
      </c>
    </row>
    <row r="162" spans="1:7" ht="17.45" hidden="1">
      <c r="A162" s="21" t="s">
        <v>95</v>
      </c>
      <c r="B162" s="21" t="s">
        <v>73</v>
      </c>
      <c r="C162" s="23">
        <v>3372.1950000000002</v>
      </c>
      <c r="D162" s="22">
        <v>468.63628000000017</v>
      </c>
      <c r="E162" s="24">
        <v>0.13897069416211105</v>
      </c>
      <c r="F162" s="22">
        <v>2903.55872</v>
      </c>
      <c r="G162" s="24">
        <v>0.86102930583788895</v>
      </c>
    </row>
    <row r="163" spans="1:7" ht="17.45" hidden="1">
      <c r="A163" s="21" t="s">
        <v>97</v>
      </c>
      <c r="B163" s="21" t="s">
        <v>39</v>
      </c>
      <c r="C163" s="23">
        <v>84956.46</v>
      </c>
      <c r="D163" s="22">
        <v>84670.2592</v>
      </c>
      <c r="E163" s="24">
        <v>0.9966312061495971</v>
      </c>
      <c r="F163" s="22">
        <v>286.20079999999996</v>
      </c>
      <c r="G163" s="24">
        <v>3.3687938504028997E-3</v>
      </c>
    </row>
    <row r="164" spans="1:7" ht="17.45" hidden="1">
      <c r="A164" s="21" t="s">
        <v>97</v>
      </c>
      <c r="B164" s="21" t="s">
        <v>42</v>
      </c>
      <c r="C164" s="23">
        <v>66882.023954999997</v>
      </c>
      <c r="D164" s="22">
        <v>45280.513670999993</v>
      </c>
      <c r="E164" s="24">
        <v>0.67702068498205026</v>
      </c>
      <c r="F164" s="22">
        <v>21601.510284000004</v>
      </c>
      <c r="G164" s="24">
        <v>0.32297931501794974</v>
      </c>
    </row>
    <row r="165" spans="1:7" ht="17.45" hidden="1">
      <c r="A165" s="21" t="s">
        <v>97</v>
      </c>
      <c r="B165" s="21" t="s">
        <v>96</v>
      </c>
      <c r="C165" s="23">
        <v>26583.496693999998</v>
      </c>
      <c r="D165" s="22">
        <v>26583.496693999998</v>
      </c>
      <c r="E165" s="24">
        <v>1</v>
      </c>
      <c r="F165" s="22">
        <v>0</v>
      </c>
      <c r="G165" s="24">
        <v>0</v>
      </c>
    </row>
    <row r="166" spans="1:7" ht="17.45" hidden="1">
      <c r="A166" s="21" t="s">
        <v>97</v>
      </c>
      <c r="B166" s="21" t="s">
        <v>79</v>
      </c>
      <c r="C166" s="23">
        <v>31304.616866999997</v>
      </c>
      <c r="D166" s="22">
        <v>15915.164804999997</v>
      </c>
      <c r="E166" s="24">
        <v>0.50839672859172058</v>
      </c>
      <c r="F166" s="22">
        <v>15389.452062</v>
      </c>
      <c r="G166" s="24">
        <v>0.49160327140827936</v>
      </c>
    </row>
    <row r="167" spans="1:7" ht="17.45" hidden="1">
      <c r="A167" s="21" t="s">
        <v>97</v>
      </c>
      <c r="B167" s="21" t="s">
        <v>44</v>
      </c>
      <c r="C167" s="23">
        <v>18755.490000000002</v>
      </c>
      <c r="D167" s="22">
        <v>15760.367700000003</v>
      </c>
      <c r="E167" s="24">
        <v>0.84030690213905368</v>
      </c>
      <c r="F167" s="22">
        <v>2995.1222999999995</v>
      </c>
      <c r="G167" s="24">
        <v>0.15969309786094626</v>
      </c>
    </row>
    <row r="168" spans="1:7" ht="17.45" hidden="1">
      <c r="A168" s="21" t="s">
        <v>97</v>
      </c>
      <c r="B168" s="21" t="s">
        <v>83</v>
      </c>
      <c r="C168" s="23">
        <v>5626.6469999999999</v>
      </c>
      <c r="D168" s="22">
        <v>5626.6469999999999</v>
      </c>
      <c r="E168" s="24">
        <v>1</v>
      </c>
      <c r="F168" s="22">
        <v>0</v>
      </c>
      <c r="G168" s="24">
        <v>0</v>
      </c>
    </row>
    <row r="169" spans="1:7" ht="17.45" hidden="1">
      <c r="A169" s="21" t="s">
        <v>97</v>
      </c>
      <c r="B169" s="21" t="s">
        <v>89</v>
      </c>
      <c r="C169" s="23">
        <v>5626.6469999999999</v>
      </c>
      <c r="D169" s="22">
        <v>5626.6469999999999</v>
      </c>
      <c r="E169" s="24">
        <v>1</v>
      </c>
      <c r="F169" s="22">
        <v>0</v>
      </c>
      <c r="G169" s="24">
        <v>0</v>
      </c>
    </row>
    <row r="170" spans="1:7" ht="17.45" hidden="1">
      <c r="A170" s="21" t="s">
        <v>97</v>
      </c>
      <c r="B170" s="21" t="s">
        <v>88</v>
      </c>
      <c r="C170" s="23">
        <v>5626.6469999999999</v>
      </c>
      <c r="D170" s="22">
        <v>2699.9907000000003</v>
      </c>
      <c r="E170" s="24">
        <v>0.47985784428985867</v>
      </c>
      <c r="F170" s="22">
        <v>2926.6562999999996</v>
      </c>
      <c r="G170" s="24">
        <v>0.52014215571014133</v>
      </c>
    </row>
    <row r="171" spans="1:7" ht="17.45" hidden="1">
      <c r="A171" s="21" t="s">
        <v>98</v>
      </c>
      <c r="B171" s="21" t="s">
        <v>40</v>
      </c>
      <c r="C171" s="23">
        <v>5950.99</v>
      </c>
      <c r="D171" s="22">
        <v>5951.0829999999996</v>
      </c>
      <c r="E171" s="24">
        <v>1.0000156276518697</v>
      </c>
      <c r="F171" s="22">
        <v>-9.2999999999999999E-2</v>
      </c>
      <c r="G171" s="24">
        <v>-1.5627651869688909E-5</v>
      </c>
    </row>
    <row r="172" spans="1:7" ht="17.45" hidden="1">
      <c r="A172" s="21" t="s">
        <v>98</v>
      </c>
      <c r="B172" s="21" t="s">
        <v>42</v>
      </c>
      <c r="C172" s="23">
        <v>3715.0075070000003</v>
      </c>
      <c r="D172" s="22">
        <v>1884.6085560000004</v>
      </c>
      <c r="E172" s="24">
        <v>0.50729602899830706</v>
      </c>
      <c r="F172" s="22">
        <v>1830.3989509999999</v>
      </c>
      <c r="G172" s="24">
        <v>0.492703971001693</v>
      </c>
    </row>
    <row r="173" spans="1:7" ht="17.45" hidden="1">
      <c r="A173" s="21" t="s">
        <v>98</v>
      </c>
      <c r="B173" s="21" t="s">
        <v>41</v>
      </c>
      <c r="C173" s="23">
        <v>1751.2250079999999</v>
      </c>
      <c r="D173" s="22">
        <v>1029.1550360000001</v>
      </c>
      <c r="E173" s="24">
        <v>0.5876772152627916</v>
      </c>
      <c r="F173" s="22">
        <v>722.06997199999989</v>
      </c>
      <c r="G173" s="24">
        <v>0.41232278473720835</v>
      </c>
    </row>
    <row r="174" spans="1:7" ht="17.45" hidden="1">
      <c r="A174" s="21" t="s">
        <v>98</v>
      </c>
      <c r="B174" s="21" t="s">
        <v>56</v>
      </c>
      <c r="C174" s="23">
        <v>1732.3663489999999</v>
      </c>
      <c r="D174" s="22">
        <v>1033.8686499999999</v>
      </c>
      <c r="E174" s="24">
        <v>0.59679562039333978</v>
      </c>
      <c r="F174" s="22">
        <v>698.49769900000001</v>
      </c>
      <c r="G174" s="24">
        <v>0.40320437960666022</v>
      </c>
    </row>
    <row r="175" spans="1:7" ht="17.45" hidden="1">
      <c r="A175" s="21" t="s">
        <v>98</v>
      </c>
      <c r="B175" s="21" t="s">
        <v>63</v>
      </c>
      <c r="C175" s="23">
        <v>1082.634233</v>
      </c>
      <c r="D175" s="22">
        <v>841.61951999999997</v>
      </c>
      <c r="E175" s="24">
        <v>0.77738121920258918</v>
      </c>
      <c r="F175" s="22">
        <v>241.01471299999997</v>
      </c>
      <c r="G175" s="24">
        <v>0.22261878079741079</v>
      </c>
    </row>
    <row r="176" spans="1:7" ht="17.45" hidden="1">
      <c r="A176" s="21" t="s">
        <v>98</v>
      </c>
      <c r="B176" s="21" t="s">
        <v>44</v>
      </c>
      <c r="C176" s="23">
        <v>2719.34</v>
      </c>
      <c r="D176" s="22">
        <v>766.77590200000031</v>
      </c>
      <c r="E176" s="24">
        <v>0.28197132465966013</v>
      </c>
      <c r="F176" s="22">
        <v>1952.5640979999998</v>
      </c>
      <c r="G176" s="24">
        <v>0.71802867534033987</v>
      </c>
    </row>
    <row r="177" spans="1:7" ht="17.45" hidden="1">
      <c r="A177" s="21" t="s">
        <v>99</v>
      </c>
      <c r="B177" s="21" t="s">
        <v>63</v>
      </c>
      <c r="C177" s="23">
        <v>34805.629999999997</v>
      </c>
      <c r="D177" s="22">
        <v>34805.629999999997</v>
      </c>
      <c r="E177" s="24">
        <v>1</v>
      </c>
      <c r="F177" s="22">
        <v>0</v>
      </c>
      <c r="G177" s="24">
        <v>0</v>
      </c>
    </row>
    <row r="178" spans="1:7" ht="17.45" hidden="1">
      <c r="A178" s="21" t="s">
        <v>99</v>
      </c>
      <c r="B178" s="21" t="s">
        <v>42</v>
      </c>
      <c r="C178" s="23">
        <v>20807.875873000001</v>
      </c>
      <c r="D178" s="22">
        <v>1097.5034520000008</v>
      </c>
      <c r="E178" s="24">
        <v>5.2744617408262529E-2</v>
      </c>
      <c r="F178" s="22">
        <v>19710.372421</v>
      </c>
      <c r="G178" s="24">
        <v>0.94725538259173747</v>
      </c>
    </row>
    <row r="179" spans="1:7" ht="17.45" hidden="1">
      <c r="A179" s="21" t="s">
        <v>99</v>
      </c>
      <c r="B179" s="21" t="s">
        <v>57</v>
      </c>
      <c r="C179" s="23">
        <v>12213.17973</v>
      </c>
      <c r="D179" s="22">
        <v>2899.2018700000008</v>
      </c>
      <c r="E179" s="24">
        <v>0.23738305126866421</v>
      </c>
      <c r="F179" s="22">
        <v>9313.9778599999991</v>
      </c>
      <c r="G179" s="24">
        <v>0.76261694873133579</v>
      </c>
    </row>
    <row r="180" spans="1:7" ht="17.45" hidden="1">
      <c r="A180" s="21" t="s">
        <v>99</v>
      </c>
      <c r="B180" s="21" t="s">
        <v>44</v>
      </c>
      <c r="C180" s="23">
        <v>42703.39</v>
      </c>
      <c r="D180" s="22">
        <v>23233.847914000002</v>
      </c>
      <c r="E180" s="24">
        <v>0.54407502341149039</v>
      </c>
      <c r="F180" s="22">
        <v>19469.542085999998</v>
      </c>
      <c r="G180" s="24">
        <v>0.45592497658850967</v>
      </c>
    </row>
    <row r="181" spans="1:7" ht="17.45" hidden="1">
      <c r="A181" s="21" t="s">
        <v>100</v>
      </c>
      <c r="B181" s="21" t="s">
        <v>44</v>
      </c>
      <c r="C181" s="23">
        <v>200266.78125</v>
      </c>
      <c r="D181" s="22">
        <v>23155.010183999984</v>
      </c>
      <c r="E181" s="24">
        <v>0.1156208235807954</v>
      </c>
      <c r="F181" s="22">
        <v>177111.77106600002</v>
      </c>
      <c r="G181" s="24">
        <v>0.8843791764192046</v>
      </c>
    </row>
    <row r="182" spans="1:7" ht="17.45" hidden="1">
      <c r="A182" s="21" t="s">
        <v>101</v>
      </c>
      <c r="B182" s="21" t="s">
        <v>39</v>
      </c>
      <c r="C182" s="23">
        <v>15110.89</v>
      </c>
      <c r="D182" s="22">
        <v>15110.89</v>
      </c>
      <c r="E182" s="24">
        <v>1</v>
      </c>
      <c r="F182" s="22">
        <v>0</v>
      </c>
      <c r="G182" s="24">
        <v>0</v>
      </c>
    </row>
    <row r="183" spans="1:7" ht="17.45" hidden="1">
      <c r="A183" s="21" t="s">
        <v>101</v>
      </c>
      <c r="B183" s="21" t="s">
        <v>63</v>
      </c>
      <c r="C183" s="23">
        <v>8553.14</v>
      </c>
      <c r="D183" s="22">
        <v>8547.1770070000002</v>
      </c>
      <c r="E183" s="24">
        <v>0.99930282995484698</v>
      </c>
      <c r="F183" s="22">
        <v>5.962993</v>
      </c>
      <c r="G183" s="24">
        <v>6.9717004515300817E-4</v>
      </c>
    </row>
    <row r="184" spans="1:7" ht="17.45" hidden="1">
      <c r="A184" s="21" t="s">
        <v>101</v>
      </c>
      <c r="B184" s="21" t="s">
        <v>42</v>
      </c>
      <c r="C184" s="23">
        <v>10411.952019000002</v>
      </c>
      <c r="D184" s="22">
        <v>6185.784469000002</v>
      </c>
      <c r="E184" s="24">
        <v>0.59410420425603394</v>
      </c>
      <c r="F184" s="22">
        <v>4226.1675500000001</v>
      </c>
      <c r="G184" s="24">
        <v>0.40589579574396606</v>
      </c>
    </row>
    <row r="185" spans="1:7" ht="17.45" hidden="1">
      <c r="A185" s="21" t="s">
        <v>101</v>
      </c>
      <c r="B185" s="21" t="s">
        <v>41</v>
      </c>
      <c r="C185" s="23">
        <v>5460.5186199999998</v>
      </c>
      <c r="D185" s="22">
        <v>3891.8789299999999</v>
      </c>
      <c r="E185" s="24">
        <v>0.71273063985999197</v>
      </c>
      <c r="F185" s="22">
        <v>1568.63969</v>
      </c>
      <c r="G185" s="24">
        <v>0.28726936014000809</v>
      </c>
    </row>
    <row r="186" spans="1:7" ht="17.45" hidden="1">
      <c r="A186" s="21" t="s">
        <v>101</v>
      </c>
      <c r="B186" s="21" t="s">
        <v>44</v>
      </c>
      <c r="C186" s="23">
        <v>6572.67</v>
      </c>
      <c r="D186" s="22">
        <v>2875.3397000000004</v>
      </c>
      <c r="E186" s="24">
        <v>0.43746904986862267</v>
      </c>
      <c r="F186" s="22">
        <v>3697.3302999999996</v>
      </c>
      <c r="G186" s="24">
        <v>0.56253095013137733</v>
      </c>
    </row>
    <row r="187" spans="1:7" ht="17.45" hidden="1">
      <c r="A187" s="21" t="s">
        <v>101</v>
      </c>
      <c r="B187" s="21" t="s">
        <v>54</v>
      </c>
      <c r="C187" s="23">
        <v>1971.8009999999999</v>
      </c>
      <c r="D187" s="22">
        <v>1971.8009999999999</v>
      </c>
      <c r="E187" s="24">
        <v>1</v>
      </c>
      <c r="F187" s="22">
        <v>0</v>
      </c>
      <c r="G187" s="24">
        <v>0</v>
      </c>
    </row>
    <row r="188" spans="1:7" ht="17.45" hidden="1">
      <c r="A188" s="21" t="s">
        <v>102</v>
      </c>
      <c r="B188" s="21" t="s">
        <v>79</v>
      </c>
      <c r="C188" s="23">
        <v>93341.691974999994</v>
      </c>
      <c r="D188" s="22">
        <v>2794.6473509999923</v>
      </c>
      <c r="E188" s="24">
        <v>2.9939968859236998E-2</v>
      </c>
      <c r="F188" s="22">
        <v>90547.044624000002</v>
      </c>
      <c r="G188" s="24">
        <v>0.970060031140763</v>
      </c>
    </row>
    <row r="189" spans="1:7" ht="17.45" hidden="1">
      <c r="A189" s="21" t="s">
        <v>102</v>
      </c>
      <c r="B189" s="21" t="s">
        <v>39</v>
      </c>
      <c r="C189" s="23">
        <v>38535.74</v>
      </c>
      <c r="D189" s="22">
        <v>38554.351999999999</v>
      </c>
      <c r="E189" s="24">
        <v>1.0004829802152495</v>
      </c>
      <c r="F189" s="22">
        <v>-18.611999999999995</v>
      </c>
      <c r="G189" s="24">
        <v>-4.8298021524953189E-4</v>
      </c>
    </row>
    <row r="190" spans="1:7" ht="17.45" hidden="1">
      <c r="A190" s="21" t="s">
        <v>102</v>
      </c>
      <c r="B190" s="21" t="s">
        <v>42</v>
      </c>
      <c r="C190" s="23">
        <v>13181.841251</v>
      </c>
      <c r="D190" s="22">
        <v>10676.497148999999</v>
      </c>
      <c r="E190" s="24">
        <v>0.80993974557158777</v>
      </c>
      <c r="F190" s="22">
        <v>2505.344102</v>
      </c>
      <c r="G190" s="24">
        <v>0.19006025442841226</v>
      </c>
    </row>
    <row r="191" spans="1:7" ht="17.45" hidden="1">
      <c r="A191" s="21" t="s">
        <v>102</v>
      </c>
      <c r="B191" s="21" t="s">
        <v>64</v>
      </c>
      <c r="C191" s="23">
        <v>11358.755055</v>
      </c>
      <c r="D191" s="22">
        <v>5383.7346269999989</v>
      </c>
      <c r="E191" s="24">
        <v>0.47397224439927843</v>
      </c>
      <c r="F191" s="22">
        <v>5975.0204280000007</v>
      </c>
      <c r="G191" s="24">
        <v>0.52602775560072157</v>
      </c>
    </row>
    <row r="192" spans="1:7" ht="17.45" hidden="1">
      <c r="A192" s="21" t="s">
        <v>102</v>
      </c>
      <c r="B192" s="21" t="s">
        <v>63</v>
      </c>
      <c r="C192" s="23">
        <v>8169.72</v>
      </c>
      <c r="D192" s="22">
        <v>8118.9997650000005</v>
      </c>
      <c r="E192" s="24">
        <v>0.99379168013102037</v>
      </c>
      <c r="F192" s="22">
        <v>50.720235000000002</v>
      </c>
      <c r="G192" s="24">
        <v>6.2083198689795978E-3</v>
      </c>
    </row>
    <row r="193" spans="1:7" ht="17.45" hidden="1">
      <c r="A193" s="21" t="s">
        <v>102</v>
      </c>
      <c r="B193" s="21" t="s">
        <v>44</v>
      </c>
      <c r="C193" s="23">
        <v>29445.253086999997</v>
      </c>
      <c r="D193" s="22">
        <v>11124.335877999998</v>
      </c>
      <c r="E193" s="24">
        <v>0.37779725802089859</v>
      </c>
      <c r="F193" s="22">
        <v>18320.917208999999</v>
      </c>
      <c r="G193" s="24">
        <v>0.62220274197910141</v>
      </c>
    </row>
    <row r="194" spans="1:7" ht="17.45" hidden="1">
      <c r="A194" s="21" t="s">
        <v>102</v>
      </c>
      <c r="B194" s="21" t="s">
        <v>70</v>
      </c>
      <c r="C194" s="23">
        <v>6087.5550000000003</v>
      </c>
      <c r="D194" s="22">
        <v>6087.5550000000003</v>
      </c>
      <c r="E194" s="24">
        <v>1</v>
      </c>
      <c r="F194" s="22">
        <v>0</v>
      </c>
      <c r="G194" s="24">
        <v>0</v>
      </c>
    </row>
    <row r="195" spans="1:7" ht="17.45" hidden="1">
      <c r="A195" s="21" t="s">
        <v>102</v>
      </c>
      <c r="B195" s="21" t="s">
        <v>89</v>
      </c>
      <c r="C195" s="23">
        <v>6087.5550000000003</v>
      </c>
      <c r="D195" s="22">
        <v>3012.6150400000006</v>
      </c>
      <c r="E195" s="24">
        <v>0.49488095631168838</v>
      </c>
      <c r="F195" s="22">
        <v>3074.9399599999997</v>
      </c>
      <c r="G195" s="24">
        <v>0.50511904368831162</v>
      </c>
    </row>
    <row r="196" spans="1:7" ht="17.45" hidden="1">
      <c r="A196" s="21" t="s">
        <v>102</v>
      </c>
      <c r="B196" s="21" t="s">
        <v>73</v>
      </c>
      <c r="C196" s="23">
        <v>6087.5550000000003</v>
      </c>
      <c r="D196" s="22">
        <v>1198.2836529999995</v>
      </c>
      <c r="E196" s="24">
        <v>0.19684153210936073</v>
      </c>
      <c r="F196" s="22">
        <v>4889.2713470000008</v>
      </c>
      <c r="G196" s="24">
        <v>0.80315846789063927</v>
      </c>
    </row>
    <row r="197" spans="1:7" ht="17.45" hidden="1">
      <c r="A197" s="21" t="s">
        <v>103</v>
      </c>
      <c r="B197" s="21" t="s">
        <v>79</v>
      </c>
      <c r="C197" s="23">
        <v>78860.775127999994</v>
      </c>
      <c r="D197" s="22">
        <v>6273.4133080000029</v>
      </c>
      <c r="E197" s="24">
        <v>7.9550490060711909E-2</v>
      </c>
      <c r="F197" s="22">
        <v>72587.361819999991</v>
      </c>
      <c r="G197" s="24">
        <v>0.92044950993928809</v>
      </c>
    </row>
    <row r="198" spans="1:7" ht="17.45" hidden="1">
      <c r="A198" s="21" t="s">
        <v>103</v>
      </c>
      <c r="B198" s="21" t="s">
        <v>42</v>
      </c>
      <c r="C198" s="23">
        <v>51075.770936000001</v>
      </c>
      <c r="D198" s="22">
        <v>390.53103600000031</v>
      </c>
      <c r="E198" s="24">
        <v>7.6461114309825939E-3</v>
      </c>
      <c r="F198" s="22">
        <v>50685.2399</v>
      </c>
      <c r="G198" s="24">
        <v>0.99235388856901741</v>
      </c>
    </row>
    <row r="199" spans="1:7" ht="17.45" hidden="1">
      <c r="A199" s="21" t="s">
        <v>103</v>
      </c>
      <c r="B199" s="21" t="s">
        <v>63</v>
      </c>
      <c r="C199" s="23">
        <v>41165.052497000004</v>
      </c>
      <c r="D199" s="22">
        <v>12441.406495000003</v>
      </c>
      <c r="E199" s="24">
        <v>0.30223225139593102</v>
      </c>
      <c r="F199" s="22">
        <v>28723.646002000001</v>
      </c>
      <c r="G199" s="24">
        <v>0.69776774860406898</v>
      </c>
    </row>
    <row r="200" spans="1:7" ht="17.45" hidden="1">
      <c r="A200" s="21" t="s">
        <v>103</v>
      </c>
      <c r="B200" s="21" t="s">
        <v>44</v>
      </c>
      <c r="C200" s="23">
        <v>51399.115710999999</v>
      </c>
      <c r="D200" s="22">
        <v>13617.398810999999</v>
      </c>
      <c r="E200" s="24">
        <v>0.26493449590779083</v>
      </c>
      <c r="F200" s="22">
        <v>37781.716899999999</v>
      </c>
      <c r="G200" s="24">
        <v>0.73506550409220917</v>
      </c>
    </row>
    <row r="201" spans="1:7" ht="17.45" hidden="1">
      <c r="A201" s="21" t="s">
        <v>104</v>
      </c>
      <c r="B201" s="21" t="s">
        <v>63</v>
      </c>
      <c r="C201" s="23">
        <v>85973.257731999998</v>
      </c>
      <c r="D201" s="22">
        <v>74381.314673999994</v>
      </c>
      <c r="E201" s="24">
        <v>0.8651680375526194</v>
      </c>
      <c r="F201" s="22">
        <v>11591.943058000001</v>
      </c>
      <c r="G201" s="24">
        <v>0.13483196244738063</v>
      </c>
    </row>
    <row r="202" spans="1:7" ht="17.45" hidden="1">
      <c r="A202" s="21" t="s">
        <v>104</v>
      </c>
      <c r="B202" s="21" t="s">
        <v>39</v>
      </c>
      <c r="C202" s="23">
        <v>53300.764319000002</v>
      </c>
      <c r="D202" s="22">
        <v>42075.887640000001</v>
      </c>
      <c r="E202" s="24">
        <v>0.78940495840134339</v>
      </c>
      <c r="F202" s="22">
        <v>11224.876678999999</v>
      </c>
      <c r="G202" s="24">
        <v>0.21059504159865663</v>
      </c>
    </row>
    <row r="203" spans="1:7" ht="17.45" hidden="1">
      <c r="A203" s="21" t="s">
        <v>104</v>
      </c>
      <c r="B203" s="21" t="s">
        <v>44</v>
      </c>
      <c r="C203" s="23">
        <v>87062.460310000009</v>
      </c>
      <c r="D203" s="22">
        <v>9688.9453060000233</v>
      </c>
      <c r="E203" s="24">
        <v>0.11128729042920404</v>
      </c>
      <c r="F203" s="22">
        <v>77373.515003999986</v>
      </c>
      <c r="G203" s="24">
        <v>0.88871270957079596</v>
      </c>
    </row>
    <row r="204" spans="1:7" ht="17.45" hidden="1">
      <c r="A204" s="21" t="s">
        <v>105</v>
      </c>
      <c r="B204" s="21" t="s">
        <v>106</v>
      </c>
      <c r="C204" s="23">
        <v>2998324</v>
      </c>
      <c r="D204" s="22">
        <v>1019546.4339999999</v>
      </c>
      <c r="E204" s="24">
        <v>0.34003877966490614</v>
      </c>
      <c r="F204" s="22">
        <v>1978777.5660000001</v>
      </c>
      <c r="G204" s="24">
        <v>0.65996122033509386</v>
      </c>
    </row>
  </sheetData>
  <sheetProtection sheet="1" selectLockedCells="1" sort="0" autoFilter="0" pivotTables="0"/>
  <protectedRanges>
    <protectedRange sqref="A15:G204" name="Range1"/>
  </protectedRanges>
  <mergeCells count="1">
    <mergeCell ref="D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7FC3-C41E-4C3F-8791-BAE4616981AD}">
  <dimension ref="A1:G86"/>
  <sheetViews>
    <sheetView showGridLines="0" zoomScale="80" zoomScaleNormal="80" workbookViewId="0">
      <selection activeCell="A15" sqref="A15"/>
    </sheetView>
  </sheetViews>
  <sheetFormatPr defaultColWidth="9.140625" defaultRowHeight="16.5"/>
  <cols>
    <col min="1" max="1" width="64.140625" style="1" customWidth="1"/>
    <col min="2" max="2" width="22.5703125" style="1" customWidth="1"/>
    <col min="3" max="3" width="17.7109375" style="1" customWidth="1"/>
    <col min="4" max="4" width="17.28515625" style="1" customWidth="1"/>
    <col min="5" max="7" width="36.140625" style="1" customWidth="1"/>
    <col min="8" max="16384" width="9.140625" style="1"/>
  </cols>
  <sheetData>
    <row r="1" spans="1:7" ht="54.75" customHeight="1">
      <c r="A1" s="25" t="s">
        <v>107</v>
      </c>
      <c r="B1" s="4"/>
      <c r="C1" s="5"/>
      <c r="D1" s="5"/>
      <c r="E1" s="5"/>
      <c r="F1" s="6"/>
      <c r="G1" s="5"/>
    </row>
    <row r="2" spans="1:7" ht="20.100000000000001" customHeight="1">
      <c r="A2" s="7" t="s">
        <v>28</v>
      </c>
      <c r="B2" s="7"/>
      <c r="C2" s="5"/>
      <c r="D2" s="5"/>
      <c r="E2" s="5"/>
      <c r="F2" s="5"/>
      <c r="G2" s="5"/>
    </row>
    <row r="3" spans="1:7" ht="20.100000000000001" customHeight="1">
      <c r="A3" s="7" t="s">
        <v>29</v>
      </c>
      <c r="B3" s="7"/>
      <c r="C3" s="5"/>
      <c r="D3" s="5"/>
      <c r="E3" s="5"/>
      <c r="F3" s="5"/>
      <c r="G3" s="5"/>
    </row>
    <row r="4" spans="1:7" ht="20.100000000000001" customHeight="1">
      <c r="A4" s="6"/>
      <c r="B4" s="7"/>
      <c r="C4" s="5"/>
      <c r="D4" s="5"/>
      <c r="E4" s="5"/>
      <c r="F4" s="5"/>
      <c r="G4" s="5"/>
    </row>
    <row r="5" spans="1:7" ht="24" customHeight="1">
      <c r="A5" s="12"/>
      <c r="B5" s="3"/>
      <c r="E5" s="27" t="s">
        <v>108</v>
      </c>
      <c r="F5" s="27"/>
      <c r="G5" s="27"/>
    </row>
    <row r="6" spans="1:7" ht="24" customHeight="1">
      <c r="A6" s="2"/>
      <c r="B6" s="3"/>
      <c r="E6" s="27"/>
      <c r="F6" s="27"/>
      <c r="G6" s="27"/>
    </row>
    <row r="7" spans="1:7" ht="24" customHeight="1">
      <c r="A7" s="2"/>
      <c r="B7" s="3"/>
      <c r="E7" s="27"/>
      <c r="F7" s="27"/>
      <c r="G7" s="27"/>
    </row>
    <row r="8" spans="1:7" ht="24">
      <c r="A8" s="2"/>
      <c r="B8" s="3"/>
      <c r="E8" s="27"/>
      <c r="F8" s="27"/>
      <c r="G8" s="27"/>
    </row>
    <row r="9" spans="1:7" ht="24">
      <c r="A9" s="2"/>
      <c r="B9" s="3"/>
      <c r="E9" s="27"/>
      <c r="F9" s="27"/>
      <c r="G9" s="27"/>
    </row>
    <row r="10" spans="1:7" ht="24">
      <c r="A10" s="2"/>
      <c r="B10" s="3"/>
      <c r="E10" s="27"/>
      <c r="F10" s="27"/>
      <c r="G10" s="27"/>
    </row>
    <row r="11" spans="1:7" ht="24">
      <c r="A11" s="2"/>
      <c r="B11" s="3"/>
      <c r="E11" s="27"/>
      <c r="F11" s="27"/>
      <c r="G11" s="27"/>
    </row>
    <row r="12" spans="1:7" ht="24">
      <c r="A12" s="2"/>
      <c r="B12" s="3"/>
      <c r="E12" s="27"/>
      <c r="F12" s="27"/>
      <c r="G12" s="27"/>
    </row>
    <row r="13" spans="1:7" ht="24">
      <c r="A13" s="2"/>
      <c r="B13" s="3"/>
      <c r="E13" s="27"/>
      <c r="F13" s="27"/>
      <c r="G13" s="27"/>
    </row>
    <row r="14" spans="1:7" ht="24">
      <c r="A14" s="2"/>
      <c r="B14" s="3"/>
      <c r="E14" s="27"/>
      <c r="F14" s="27"/>
      <c r="G14" s="27"/>
    </row>
    <row r="15" spans="1:7" ht="48.6" customHeight="1">
      <c r="A15" s="17" t="s">
        <v>31</v>
      </c>
      <c r="B15" s="13" t="s">
        <v>32</v>
      </c>
      <c r="C15" s="18" t="s">
        <v>33</v>
      </c>
      <c r="D15" s="18" t="s">
        <v>34</v>
      </c>
      <c r="E15" s="18" t="s">
        <v>35</v>
      </c>
      <c r="F15" s="18" t="s">
        <v>36</v>
      </c>
      <c r="G15" s="18" t="s">
        <v>37</v>
      </c>
    </row>
    <row r="16" spans="1:7" ht="17.45">
      <c r="A16" s="14" t="s">
        <v>109</v>
      </c>
      <c r="B16" s="14" t="s">
        <v>110</v>
      </c>
      <c r="C16" s="22">
        <v>187671</v>
      </c>
      <c r="D16" s="22">
        <v>72667.037517000004</v>
      </c>
      <c r="E16" s="15">
        <v>0.38720440300845627</v>
      </c>
      <c r="F16" s="22">
        <v>115003.962483</v>
      </c>
      <c r="G16" s="15">
        <v>0.61279559699154373</v>
      </c>
    </row>
    <row r="17" spans="1:7" ht="17.45">
      <c r="A17" s="14" t="s">
        <v>109</v>
      </c>
      <c r="B17" s="14" t="s">
        <v>111</v>
      </c>
      <c r="C17" s="22">
        <v>24641</v>
      </c>
      <c r="D17" s="22">
        <v>8044.8679999999986</v>
      </c>
      <c r="E17" s="15">
        <v>0.3264830161113591</v>
      </c>
      <c r="F17" s="22">
        <v>16596.132000000001</v>
      </c>
      <c r="G17" s="15">
        <v>0.6735169838886409</v>
      </c>
    </row>
    <row r="18" spans="1:7" ht="17.45">
      <c r="A18" s="14" t="s">
        <v>109</v>
      </c>
      <c r="B18" s="14" t="s">
        <v>64</v>
      </c>
      <c r="C18" s="22">
        <v>13718</v>
      </c>
      <c r="D18" s="22">
        <v>13709.565000000001</v>
      </c>
      <c r="E18" s="15">
        <v>0.99938511444817024</v>
      </c>
      <c r="F18" s="22">
        <v>8.4350000000000005</v>
      </c>
      <c r="G18" s="15">
        <v>6.148855518297128E-4</v>
      </c>
    </row>
    <row r="19" spans="1:7" ht="17.45">
      <c r="A19" s="14" t="s">
        <v>109</v>
      </c>
      <c r="B19" s="14" t="s">
        <v>112</v>
      </c>
      <c r="C19" s="22">
        <v>23611</v>
      </c>
      <c r="D19" s="22">
        <v>23611</v>
      </c>
      <c r="E19" s="15">
        <v>1</v>
      </c>
      <c r="F19" s="22">
        <v>0</v>
      </c>
      <c r="G19" s="15">
        <v>0</v>
      </c>
    </row>
    <row r="20" spans="1:7" ht="17.45">
      <c r="A20" s="14" t="s">
        <v>113</v>
      </c>
      <c r="B20" s="14" t="s">
        <v>112</v>
      </c>
      <c r="C20" s="22">
        <v>579165</v>
      </c>
      <c r="D20" s="22">
        <v>109096.283</v>
      </c>
      <c r="E20" s="15">
        <v>0.1883682249445322</v>
      </c>
      <c r="F20" s="22">
        <v>470068.717</v>
      </c>
      <c r="G20" s="15">
        <v>0.8116317750554678</v>
      </c>
    </row>
    <row r="21" spans="1:7" ht="17.45">
      <c r="A21" s="14" t="s">
        <v>114</v>
      </c>
      <c r="B21" s="14" t="s">
        <v>110</v>
      </c>
      <c r="C21" s="22">
        <v>324154</v>
      </c>
      <c r="D21" s="22">
        <v>101574.70941299998</v>
      </c>
      <c r="E21" s="15">
        <v>0.31335325003856185</v>
      </c>
      <c r="F21" s="22">
        <v>222579.29058700002</v>
      </c>
      <c r="G21" s="15">
        <v>0.68664674996143815</v>
      </c>
    </row>
    <row r="22" spans="1:7" ht="17.45">
      <c r="A22" s="14" t="s">
        <v>114</v>
      </c>
      <c r="B22" s="14" t="s">
        <v>64</v>
      </c>
      <c r="C22" s="22">
        <v>33513</v>
      </c>
      <c r="D22" s="22">
        <v>29155.141199999998</v>
      </c>
      <c r="E22" s="15">
        <v>0.86996512398173842</v>
      </c>
      <c r="F22" s="22">
        <v>4357.8588</v>
      </c>
      <c r="G22" s="15">
        <v>0.13003487601826158</v>
      </c>
    </row>
    <row r="23" spans="1:7" ht="17.45">
      <c r="A23" s="14" t="s">
        <v>114</v>
      </c>
      <c r="B23" s="14" t="s">
        <v>40</v>
      </c>
      <c r="C23" s="22">
        <v>24752</v>
      </c>
      <c r="D23" s="22">
        <v>20768.169420999999</v>
      </c>
      <c r="E23" s="15">
        <v>0.83905015437136399</v>
      </c>
      <c r="F23" s="22">
        <v>3983.8305789999999</v>
      </c>
      <c r="G23" s="15">
        <v>0.16094984562863607</v>
      </c>
    </row>
    <row r="24" spans="1:7" ht="17.45">
      <c r="A24" s="14" t="s">
        <v>114</v>
      </c>
      <c r="B24" s="14" t="s">
        <v>112</v>
      </c>
      <c r="C24" s="22">
        <v>85595</v>
      </c>
      <c r="D24" s="22">
        <v>25763.637304999997</v>
      </c>
      <c r="E24" s="15">
        <v>0.30099465278345694</v>
      </c>
      <c r="F24" s="22">
        <v>59831.362695000003</v>
      </c>
      <c r="G24" s="15">
        <v>0.69900534721654306</v>
      </c>
    </row>
    <row r="25" spans="1:7" ht="17.45">
      <c r="A25" s="14" t="s">
        <v>114</v>
      </c>
      <c r="B25" s="14" t="s">
        <v>46</v>
      </c>
      <c r="C25" s="22">
        <v>12839</v>
      </c>
      <c r="D25" s="22">
        <v>12838.999996</v>
      </c>
      <c r="E25" s="15">
        <v>0.99999999968844921</v>
      </c>
      <c r="F25" s="22">
        <v>3.9999999999999998E-6</v>
      </c>
      <c r="G25" s="15">
        <v>3.115507438274009E-10</v>
      </c>
    </row>
    <row r="26" spans="1:7" ht="17.45">
      <c r="A26" s="14" t="s">
        <v>114</v>
      </c>
      <c r="B26" s="14" t="s">
        <v>115</v>
      </c>
      <c r="C26" s="22">
        <v>12839</v>
      </c>
      <c r="D26" s="22">
        <v>12839</v>
      </c>
      <c r="E26" s="15">
        <v>1</v>
      </c>
      <c r="F26" s="22">
        <v>0</v>
      </c>
      <c r="G26" s="15">
        <v>0</v>
      </c>
    </row>
    <row r="27" spans="1:7" ht="17.45">
      <c r="A27" s="14" t="s">
        <v>114</v>
      </c>
      <c r="B27" s="14" t="s">
        <v>47</v>
      </c>
      <c r="C27" s="22">
        <v>12839</v>
      </c>
      <c r="D27" s="22">
        <v>35.584323999999469</v>
      </c>
      <c r="E27" s="15">
        <v>2.7715806526987796E-3</v>
      </c>
      <c r="F27" s="22">
        <v>12803.415676000001</v>
      </c>
      <c r="G27" s="15">
        <v>0.99722841934730122</v>
      </c>
    </row>
    <row r="28" spans="1:7" ht="17.45">
      <c r="A28" s="14" t="s">
        <v>114</v>
      </c>
      <c r="B28" s="14" t="s">
        <v>51</v>
      </c>
      <c r="C28" s="22">
        <v>12839</v>
      </c>
      <c r="D28" s="22">
        <v>61.523495999999795</v>
      </c>
      <c r="E28" s="15">
        <v>4.7919227354155103E-3</v>
      </c>
      <c r="F28" s="22">
        <v>12777.476504</v>
      </c>
      <c r="G28" s="15">
        <v>0.99520807726458449</v>
      </c>
    </row>
    <row r="29" spans="1:7" ht="17.45">
      <c r="A29" s="14" t="s">
        <v>114</v>
      </c>
      <c r="B29" s="14" t="s">
        <v>116</v>
      </c>
      <c r="C29" s="22">
        <v>12839</v>
      </c>
      <c r="D29" s="22">
        <v>0</v>
      </c>
      <c r="E29" s="15">
        <v>0</v>
      </c>
      <c r="F29" s="22">
        <v>12839</v>
      </c>
      <c r="G29" s="15">
        <v>1</v>
      </c>
    </row>
    <row r="30" spans="1:7" ht="17.45">
      <c r="A30" s="14" t="s">
        <v>114</v>
      </c>
      <c r="B30" s="14" t="s">
        <v>53</v>
      </c>
      <c r="C30" s="22">
        <v>12839</v>
      </c>
      <c r="D30" s="22">
        <v>0</v>
      </c>
      <c r="E30" s="15">
        <v>0</v>
      </c>
      <c r="F30" s="22">
        <v>12839</v>
      </c>
      <c r="G30" s="15">
        <v>1</v>
      </c>
    </row>
    <row r="31" spans="1:7" ht="17.45">
      <c r="A31" s="14" t="s">
        <v>117</v>
      </c>
      <c r="B31" s="14" t="s">
        <v>110</v>
      </c>
      <c r="C31" s="22">
        <v>36684</v>
      </c>
      <c r="D31" s="22">
        <v>14091.613375999998</v>
      </c>
      <c r="E31" s="15">
        <v>0.38413513728055826</v>
      </c>
      <c r="F31" s="22">
        <v>22592.386624000002</v>
      </c>
      <c r="G31" s="15">
        <v>0.61586486271944174</v>
      </c>
    </row>
    <row r="32" spans="1:7" ht="17.45">
      <c r="A32" s="14" t="s">
        <v>117</v>
      </c>
      <c r="B32" s="14" t="s">
        <v>118</v>
      </c>
      <c r="C32" s="22">
        <v>14907</v>
      </c>
      <c r="D32" s="22">
        <v>14907</v>
      </c>
      <c r="E32" s="15">
        <v>1</v>
      </c>
      <c r="F32" s="22">
        <v>0</v>
      </c>
      <c r="G32" s="15">
        <v>0</v>
      </c>
    </row>
    <row r="33" spans="1:7" ht="17.45">
      <c r="A33" s="14" t="s">
        <v>117</v>
      </c>
      <c r="B33" s="14" t="s">
        <v>112</v>
      </c>
      <c r="C33" s="22">
        <v>2228</v>
      </c>
      <c r="D33" s="22">
        <v>1233.78079</v>
      </c>
      <c r="E33" s="15">
        <v>0.55376157540394977</v>
      </c>
      <c r="F33" s="22">
        <v>994.21920999999998</v>
      </c>
      <c r="G33" s="15">
        <v>0.44623842459605023</v>
      </c>
    </row>
    <row r="34" spans="1:7" ht="17.45">
      <c r="A34" s="14" t="s">
        <v>69</v>
      </c>
      <c r="B34" s="14" t="s">
        <v>110</v>
      </c>
      <c r="C34" s="22">
        <v>31986</v>
      </c>
      <c r="D34" s="22">
        <v>3073.0873649999994</v>
      </c>
      <c r="E34" s="15">
        <v>9.60760134121178E-2</v>
      </c>
      <c r="F34" s="22">
        <v>28912.912635000001</v>
      </c>
      <c r="G34" s="15">
        <v>0.9039239865878822</v>
      </c>
    </row>
    <row r="35" spans="1:7" ht="17.45">
      <c r="A35" s="14" t="s">
        <v>69</v>
      </c>
      <c r="B35" s="14" t="s">
        <v>63</v>
      </c>
      <c r="C35" s="22">
        <v>8121</v>
      </c>
      <c r="D35" s="22">
        <v>2299.982</v>
      </c>
      <c r="E35" s="15">
        <v>0.28321413619012437</v>
      </c>
      <c r="F35" s="22">
        <v>5821.018</v>
      </c>
      <c r="G35" s="15">
        <v>0.71678586380987563</v>
      </c>
    </row>
    <row r="36" spans="1:7" ht="17.45">
      <c r="A36" s="14" t="s">
        <v>69</v>
      </c>
      <c r="B36" s="14" t="s">
        <v>118</v>
      </c>
      <c r="C36" s="22">
        <v>2518</v>
      </c>
      <c r="D36" s="22">
        <v>52.373999999999796</v>
      </c>
      <c r="E36" s="15">
        <v>2.0799841143764763E-2</v>
      </c>
      <c r="F36" s="22">
        <v>2465.6260000000002</v>
      </c>
      <c r="G36" s="15">
        <v>0.97920015885623524</v>
      </c>
    </row>
    <row r="37" spans="1:7" ht="17.45">
      <c r="A37" s="14" t="s">
        <v>69</v>
      </c>
      <c r="B37" s="14" t="s">
        <v>64</v>
      </c>
      <c r="C37" s="22">
        <v>2652</v>
      </c>
      <c r="D37" s="22">
        <v>18.652999999999793</v>
      </c>
      <c r="E37" s="15">
        <v>7.0335595776771509E-3</v>
      </c>
      <c r="F37" s="22">
        <v>2633.3470000000002</v>
      </c>
      <c r="G37" s="15">
        <v>0.99296644042232285</v>
      </c>
    </row>
    <row r="38" spans="1:7" ht="17.45">
      <c r="A38" s="14" t="s">
        <v>69</v>
      </c>
      <c r="B38" s="14" t="s">
        <v>112</v>
      </c>
      <c r="C38" s="22">
        <v>1085</v>
      </c>
      <c r="D38" s="22">
        <v>255.57255500000008</v>
      </c>
      <c r="E38" s="15">
        <v>0.23555074193548398</v>
      </c>
      <c r="F38" s="22">
        <v>829.42744499999992</v>
      </c>
      <c r="G38" s="15">
        <v>0.76444925806451602</v>
      </c>
    </row>
    <row r="39" spans="1:7" ht="17.45">
      <c r="A39" s="14" t="s">
        <v>119</v>
      </c>
      <c r="B39" s="14" t="s">
        <v>110</v>
      </c>
      <c r="C39" s="22">
        <v>71178</v>
      </c>
      <c r="D39" s="22">
        <v>41451.665630999996</v>
      </c>
      <c r="E39" s="15">
        <v>0.58236625967293265</v>
      </c>
      <c r="F39" s="22">
        <v>29726.334369</v>
      </c>
      <c r="G39" s="15">
        <v>0.41763374032706735</v>
      </c>
    </row>
    <row r="40" spans="1:7" ht="17.45">
      <c r="A40" s="14" t="s">
        <v>119</v>
      </c>
      <c r="B40" s="14" t="s">
        <v>112</v>
      </c>
      <c r="C40" s="22">
        <v>25401</v>
      </c>
      <c r="D40" s="22">
        <v>0</v>
      </c>
      <c r="E40" s="15">
        <v>0</v>
      </c>
      <c r="F40" s="22">
        <v>25401</v>
      </c>
      <c r="G40" s="15">
        <v>1</v>
      </c>
    </row>
    <row r="41" spans="1:7" ht="17.45">
      <c r="A41" s="14" t="s">
        <v>119</v>
      </c>
      <c r="B41" s="14" t="s">
        <v>115</v>
      </c>
      <c r="C41" s="22">
        <v>5080</v>
      </c>
      <c r="D41" s="22">
        <v>5079.9999989999997</v>
      </c>
      <c r="E41" s="15">
        <v>0.99999999980314958</v>
      </c>
      <c r="F41" s="22">
        <v>9.9999999999999995E-7</v>
      </c>
      <c r="G41" s="15">
        <v>1.968503937007874E-10</v>
      </c>
    </row>
    <row r="42" spans="1:7" ht="17.45">
      <c r="A42" s="14" t="s">
        <v>119</v>
      </c>
      <c r="B42" s="14" t="s">
        <v>47</v>
      </c>
      <c r="C42" s="22">
        <v>5080</v>
      </c>
      <c r="D42" s="22">
        <v>78.002457000000504</v>
      </c>
      <c r="E42" s="15">
        <v>1.5354814370078795E-2</v>
      </c>
      <c r="F42" s="22">
        <v>5001.9975429999995</v>
      </c>
      <c r="G42" s="15">
        <v>0.9846451856299212</v>
      </c>
    </row>
    <row r="43" spans="1:7" ht="17.45">
      <c r="A43" s="14" t="s">
        <v>119</v>
      </c>
      <c r="B43" s="14" t="s">
        <v>51</v>
      </c>
      <c r="C43" s="22">
        <v>5080</v>
      </c>
      <c r="D43" s="22">
        <v>4.5939460000008694</v>
      </c>
      <c r="E43" s="15">
        <v>9.0432007874030607E-4</v>
      </c>
      <c r="F43" s="22">
        <v>5075.4060539999991</v>
      </c>
      <c r="G43" s="15">
        <v>0.99909567992125969</v>
      </c>
    </row>
    <row r="44" spans="1:7" ht="17.45">
      <c r="A44" s="14" t="s">
        <v>119</v>
      </c>
      <c r="B44" s="14" t="s">
        <v>53</v>
      </c>
      <c r="C44" s="22">
        <v>5080</v>
      </c>
      <c r="D44" s="22">
        <v>0</v>
      </c>
      <c r="E44" s="15">
        <v>0</v>
      </c>
      <c r="F44" s="22">
        <v>5080</v>
      </c>
      <c r="G44" s="15">
        <v>1</v>
      </c>
    </row>
    <row r="45" spans="1:7" ht="17.45">
      <c r="A45" s="14" t="s">
        <v>119</v>
      </c>
      <c r="B45" s="14" t="s">
        <v>48</v>
      </c>
      <c r="C45" s="22">
        <v>5080</v>
      </c>
      <c r="D45" s="22">
        <v>13.694999999999709</v>
      </c>
      <c r="E45" s="15">
        <v>2.6958661417322283E-3</v>
      </c>
      <c r="F45" s="22">
        <v>5066.3050000000003</v>
      </c>
      <c r="G45" s="15">
        <v>0.99730413385826777</v>
      </c>
    </row>
    <row r="46" spans="1:7" ht="17.45">
      <c r="A46" s="14" t="s">
        <v>119</v>
      </c>
      <c r="B46" s="14" t="s">
        <v>50</v>
      </c>
      <c r="C46" s="22">
        <v>5080</v>
      </c>
      <c r="D46" s="22">
        <v>0</v>
      </c>
      <c r="E46" s="15">
        <v>0</v>
      </c>
      <c r="F46" s="22">
        <v>5080</v>
      </c>
      <c r="G46" s="15">
        <v>1</v>
      </c>
    </row>
    <row r="47" spans="1:7" ht="17.45">
      <c r="A47" s="14" t="s">
        <v>120</v>
      </c>
      <c r="B47" s="14" t="s">
        <v>110</v>
      </c>
      <c r="C47" s="22">
        <v>29517</v>
      </c>
      <c r="D47" s="22">
        <v>13099.984323999997</v>
      </c>
      <c r="E47" s="15">
        <v>0.44381150943524061</v>
      </c>
      <c r="F47" s="22">
        <v>16417.015676000003</v>
      </c>
      <c r="G47" s="15">
        <v>0.55618849056475939</v>
      </c>
    </row>
    <row r="48" spans="1:7" ht="17.45">
      <c r="A48" s="14" t="s">
        <v>120</v>
      </c>
      <c r="B48" s="14" t="s">
        <v>112</v>
      </c>
      <c r="C48" s="22">
        <v>4246</v>
      </c>
      <c r="D48" s="22">
        <v>290.64778500000011</v>
      </c>
      <c r="E48" s="15">
        <v>6.8452139660857281E-2</v>
      </c>
      <c r="F48" s="22">
        <v>3955.3522149999999</v>
      </c>
      <c r="G48" s="15">
        <v>0.93154786033914272</v>
      </c>
    </row>
    <row r="49" spans="1:7" ht="17.45">
      <c r="A49" s="14" t="s">
        <v>121</v>
      </c>
      <c r="B49" s="14" t="s">
        <v>110</v>
      </c>
      <c r="C49" s="22">
        <v>35458</v>
      </c>
      <c r="D49" s="22">
        <v>19494.798469000001</v>
      </c>
      <c r="E49" s="15">
        <v>0.54979971992216148</v>
      </c>
      <c r="F49" s="22">
        <v>15963.201530999999</v>
      </c>
      <c r="G49" s="15">
        <v>0.45020028007783852</v>
      </c>
    </row>
    <row r="50" spans="1:7" ht="17.45">
      <c r="A50" s="14" t="s">
        <v>121</v>
      </c>
      <c r="B50" s="14" t="s">
        <v>111</v>
      </c>
      <c r="C50" s="22">
        <v>13346</v>
      </c>
      <c r="D50" s="22">
        <v>13346</v>
      </c>
      <c r="E50" s="15">
        <v>1</v>
      </c>
      <c r="F50" s="22">
        <v>0</v>
      </c>
      <c r="G50" s="15">
        <v>0</v>
      </c>
    </row>
    <row r="51" spans="1:7" ht="17.45">
      <c r="A51" s="14" t="s">
        <v>121</v>
      </c>
      <c r="B51" s="14" t="s">
        <v>112</v>
      </c>
      <c r="C51" s="22">
        <v>7585</v>
      </c>
      <c r="D51" s="22">
        <v>49.49413100000038</v>
      </c>
      <c r="E51" s="15">
        <v>6.5252644693474249E-3</v>
      </c>
      <c r="F51" s="22">
        <v>7535.5058689999996</v>
      </c>
      <c r="G51" s="15">
        <v>0.99347473553065258</v>
      </c>
    </row>
    <row r="52" spans="1:7" ht="17.45">
      <c r="A52" s="14" t="s">
        <v>80</v>
      </c>
      <c r="B52" s="14" t="s">
        <v>110</v>
      </c>
      <c r="C52" s="22">
        <v>75521</v>
      </c>
      <c r="D52" s="22">
        <v>19445.090715999999</v>
      </c>
      <c r="E52" s="15">
        <v>0.25747925366454361</v>
      </c>
      <c r="F52" s="22">
        <v>56075.909284000001</v>
      </c>
      <c r="G52" s="15">
        <v>0.74252074633545639</v>
      </c>
    </row>
    <row r="53" spans="1:7" ht="17.45">
      <c r="A53" s="14" t="s">
        <v>80</v>
      </c>
      <c r="B53" s="14" t="s">
        <v>111</v>
      </c>
      <c r="C53" s="22">
        <v>35304</v>
      </c>
      <c r="D53" s="22">
        <v>33970.796000000002</v>
      </c>
      <c r="E53" s="15">
        <v>0.96223646045773847</v>
      </c>
      <c r="F53" s="22">
        <v>1333.204</v>
      </c>
      <c r="G53" s="15">
        <v>3.7763539542261498E-2</v>
      </c>
    </row>
    <row r="54" spans="1:7" ht="17.45">
      <c r="A54" s="14" t="s">
        <v>80</v>
      </c>
      <c r="B54" s="14" t="s">
        <v>112</v>
      </c>
      <c r="C54" s="22">
        <v>24037</v>
      </c>
      <c r="D54" s="22">
        <v>0</v>
      </c>
      <c r="E54" s="15">
        <v>0</v>
      </c>
      <c r="F54" s="22">
        <v>24037</v>
      </c>
      <c r="G54" s="15">
        <v>1</v>
      </c>
    </row>
    <row r="55" spans="1:7" ht="17.45">
      <c r="A55" s="14" t="s">
        <v>80</v>
      </c>
      <c r="B55" s="14" t="s">
        <v>54</v>
      </c>
      <c r="C55" s="22">
        <v>4807</v>
      </c>
      <c r="D55" s="22">
        <v>2560.3789999999999</v>
      </c>
      <c r="E55" s="15">
        <v>0.53263553151653831</v>
      </c>
      <c r="F55" s="22">
        <v>2246.6210000000001</v>
      </c>
      <c r="G55" s="15">
        <v>0.46736446848346164</v>
      </c>
    </row>
    <row r="56" spans="1:7" ht="17.45">
      <c r="A56" s="14" t="s">
        <v>80</v>
      </c>
      <c r="B56" s="14" t="s">
        <v>45</v>
      </c>
      <c r="C56" s="22">
        <v>4807</v>
      </c>
      <c r="D56" s="22">
        <v>4.5469999999995707</v>
      </c>
      <c r="E56" s="15">
        <v>9.4591221135831294E-4</v>
      </c>
      <c r="F56" s="22">
        <v>4802.4530000000004</v>
      </c>
      <c r="G56" s="15">
        <v>0.99905408778864169</v>
      </c>
    </row>
    <row r="57" spans="1:7" ht="17.45">
      <c r="A57" s="14" t="s">
        <v>80</v>
      </c>
      <c r="B57" s="14" t="s">
        <v>51</v>
      </c>
      <c r="C57" s="22">
        <v>4807</v>
      </c>
      <c r="D57" s="22">
        <v>0</v>
      </c>
      <c r="E57" s="15">
        <v>0</v>
      </c>
      <c r="F57" s="22">
        <v>4807</v>
      </c>
      <c r="G57" s="15">
        <v>1</v>
      </c>
    </row>
    <row r="58" spans="1:7" ht="17.45">
      <c r="A58" s="14" t="s">
        <v>80</v>
      </c>
      <c r="B58" s="14" t="s">
        <v>122</v>
      </c>
      <c r="C58" s="22">
        <v>4807</v>
      </c>
      <c r="D58" s="22">
        <v>0</v>
      </c>
      <c r="E58" s="15">
        <v>0</v>
      </c>
      <c r="F58" s="22">
        <v>4807</v>
      </c>
      <c r="G58" s="15">
        <v>1</v>
      </c>
    </row>
    <row r="59" spans="1:7" ht="17.45">
      <c r="A59" s="14" t="s">
        <v>80</v>
      </c>
      <c r="B59" s="14" t="s">
        <v>123</v>
      </c>
      <c r="C59" s="22">
        <v>4807</v>
      </c>
      <c r="D59" s="22">
        <v>0</v>
      </c>
      <c r="E59" s="15">
        <v>0</v>
      </c>
      <c r="F59" s="22">
        <v>4807</v>
      </c>
      <c r="G59" s="15">
        <v>1</v>
      </c>
    </row>
    <row r="60" spans="1:7" ht="17.45">
      <c r="A60" s="14" t="s">
        <v>80</v>
      </c>
      <c r="B60" s="14" t="s">
        <v>47</v>
      </c>
      <c r="C60" s="22">
        <v>4807</v>
      </c>
      <c r="D60" s="22">
        <v>0</v>
      </c>
      <c r="E60" s="15">
        <v>0</v>
      </c>
      <c r="F60" s="22">
        <v>4807</v>
      </c>
      <c r="G60" s="15">
        <v>1</v>
      </c>
    </row>
    <row r="61" spans="1:7" ht="17.45">
      <c r="A61" s="14" t="s">
        <v>124</v>
      </c>
      <c r="B61" s="14" t="s">
        <v>110</v>
      </c>
      <c r="C61" s="22">
        <v>75021</v>
      </c>
      <c r="D61" s="22">
        <v>23413.336439999999</v>
      </c>
      <c r="E61" s="15">
        <v>0.31209043387851398</v>
      </c>
      <c r="F61" s="22">
        <v>51607.663560000001</v>
      </c>
      <c r="G61" s="15">
        <v>0.68790956612148602</v>
      </c>
    </row>
    <row r="62" spans="1:7" ht="17.45">
      <c r="A62" s="14" t="s">
        <v>124</v>
      </c>
      <c r="B62" s="14" t="s">
        <v>112</v>
      </c>
      <c r="C62" s="22">
        <v>3275</v>
      </c>
      <c r="D62" s="22">
        <v>3275</v>
      </c>
      <c r="E62" s="15">
        <v>1</v>
      </c>
      <c r="F62" s="22">
        <v>0</v>
      </c>
      <c r="G62" s="15">
        <v>0</v>
      </c>
    </row>
    <row r="63" spans="1:7" ht="17.45">
      <c r="A63" s="14" t="s">
        <v>125</v>
      </c>
      <c r="B63" s="14" t="s">
        <v>110</v>
      </c>
      <c r="C63" s="22">
        <v>170816</v>
      </c>
      <c r="D63" s="22">
        <v>60527.893291999993</v>
      </c>
      <c r="E63" s="15">
        <v>0.35434557238197828</v>
      </c>
      <c r="F63" s="22">
        <v>110288.10670800001</v>
      </c>
      <c r="G63" s="15">
        <v>0.64565442761802172</v>
      </c>
    </row>
    <row r="64" spans="1:7" ht="17.45">
      <c r="A64" s="14" t="s">
        <v>125</v>
      </c>
      <c r="B64" s="14" t="s">
        <v>112</v>
      </c>
      <c r="C64" s="22">
        <v>17753</v>
      </c>
      <c r="D64" s="22">
        <v>2471.3294999999998</v>
      </c>
      <c r="E64" s="15">
        <v>0.13920630316002924</v>
      </c>
      <c r="F64" s="22">
        <v>15281.6705</v>
      </c>
      <c r="G64" s="15">
        <v>0.86079369683997076</v>
      </c>
    </row>
    <row r="65" spans="1:7" ht="17.45">
      <c r="A65" s="14" t="s">
        <v>94</v>
      </c>
      <c r="B65" s="14" t="s">
        <v>110</v>
      </c>
      <c r="C65" s="22">
        <v>4797</v>
      </c>
      <c r="D65" s="22">
        <v>1928.8665329999999</v>
      </c>
      <c r="E65" s="15">
        <v>0.40209850594121321</v>
      </c>
      <c r="F65" s="22">
        <v>2868.1334670000001</v>
      </c>
      <c r="G65" s="15">
        <v>0.59790149405878679</v>
      </c>
    </row>
    <row r="66" spans="1:7" ht="17.45">
      <c r="A66" s="14" t="s">
        <v>94</v>
      </c>
      <c r="B66" s="14" t="s">
        <v>112</v>
      </c>
      <c r="C66" s="22">
        <v>141</v>
      </c>
      <c r="D66" s="22">
        <v>0</v>
      </c>
      <c r="E66" s="15">
        <v>0</v>
      </c>
      <c r="F66" s="22">
        <v>141</v>
      </c>
      <c r="G66" s="15">
        <v>1</v>
      </c>
    </row>
    <row r="67" spans="1:7" ht="17.45">
      <c r="A67" s="14" t="s">
        <v>95</v>
      </c>
      <c r="B67" s="14" t="s">
        <v>110</v>
      </c>
      <c r="C67" s="22">
        <v>7079</v>
      </c>
      <c r="D67" s="22">
        <v>1925.4136529999996</v>
      </c>
      <c r="E67" s="15">
        <v>0.27198949752789936</v>
      </c>
      <c r="F67" s="22">
        <v>5153.5863470000004</v>
      </c>
      <c r="G67" s="15">
        <v>0.72801050247210064</v>
      </c>
    </row>
    <row r="68" spans="1:7" ht="17.45">
      <c r="A68" s="14" t="s">
        <v>95</v>
      </c>
      <c r="B68" s="14" t="s">
        <v>40</v>
      </c>
      <c r="C68" s="22">
        <v>3640</v>
      </c>
      <c r="D68" s="22">
        <v>2498.761</v>
      </c>
      <c r="E68" s="15">
        <v>0.68647280219780216</v>
      </c>
      <c r="F68" s="22">
        <v>1141.239</v>
      </c>
      <c r="G68" s="15">
        <v>0.31352719780219779</v>
      </c>
    </row>
    <row r="69" spans="1:7" ht="17.45">
      <c r="A69" s="14" t="s">
        <v>95</v>
      </c>
      <c r="B69" s="14" t="s">
        <v>111</v>
      </c>
      <c r="C69" s="22">
        <v>15728</v>
      </c>
      <c r="D69" s="22">
        <v>9922.8532599999999</v>
      </c>
      <c r="E69" s="15">
        <v>0.63090369150559511</v>
      </c>
      <c r="F69" s="22">
        <v>5805.1467400000001</v>
      </c>
      <c r="G69" s="15">
        <v>0.36909630849440489</v>
      </c>
    </row>
    <row r="70" spans="1:7" ht="17.45">
      <c r="A70" s="14" t="s">
        <v>95</v>
      </c>
      <c r="B70" s="14" t="s">
        <v>112</v>
      </c>
      <c r="C70" s="22">
        <v>740</v>
      </c>
      <c r="D70" s="22">
        <v>22.025120000000015</v>
      </c>
      <c r="E70" s="15">
        <v>2.9763675675675727E-2</v>
      </c>
      <c r="F70" s="22">
        <v>717.97487999999998</v>
      </c>
      <c r="G70" s="15">
        <v>0.97023632432432427</v>
      </c>
    </row>
    <row r="71" spans="1:7" ht="17.45">
      <c r="A71" s="14" t="s">
        <v>97</v>
      </c>
      <c r="B71" s="14" t="s">
        <v>110</v>
      </c>
      <c r="C71" s="22">
        <v>11332</v>
      </c>
      <c r="D71" s="22">
        <v>9612.3895389999998</v>
      </c>
      <c r="E71" s="15">
        <v>0.84825181247793857</v>
      </c>
      <c r="F71" s="22">
        <v>1719.610461</v>
      </c>
      <c r="G71" s="15">
        <v>0.15174818752206143</v>
      </c>
    </row>
    <row r="72" spans="1:7" ht="17.45">
      <c r="A72" s="14" t="s">
        <v>97</v>
      </c>
      <c r="B72" s="14" t="s">
        <v>111</v>
      </c>
      <c r="C72" s="22">
        <v>37335</v>
      </c>
      <c r="D72" s="22">
        <v>28408.053</v>
      </c>
      <c r="E72" s="15">
        <v>0.76089602249899557</v>
      </c>
      <c r="F72" s="22">
        <v>8926.9470000000001</v>
      </c>
      <c r="G72" s="15">
        <v>0.23910397750100443</v>
      </c>
    </row>
    <row r="73" spans="1:7" ht="17.45">
      <c r="A73" s="14" t="s">
        <v>97</v>
      </c>
      <c r="B73" s="14" t="s">
        <v>112</v>
      </c>
      <c r="C73" s="22">
        <v>3445</v>
      </c>
      <c r="D73" s="22">
        <v>3236.7748160000001</v>
      </c>
      <c r="E73" s="15">
        <v>0.93955727605224959</v>
      </c>
      <c r="F73" s="22">
        <v>208.22518400000001</v>
      </c>
      <c r="G73" s="15">
        <v>6.0442723947750368E-2</v>
      </c>
    </row>
    <row r="74" spans="1:7" ht="17.45">
      <c r="A74" s="14" t="s">
        <v>126</v>
      </c>
      <c r="B74" s="14" t="s">
        <v>110</v>
      </c>
      <c r="C74" s="22">
        <v>6333</v>
      </c>
      <c r="D74" s="22">
        <v>3760.7023280000003</v>
      </c>
      <c r="E74" s="15">
        <v>0.59382635843991793</v>
      </c>
      <c r="F74" s="22">
        <v>2572.2976719999997</v>
      </c>
      <c r="G74" s="15">
        <v>0.40617364156008207</v>
      </c>
    </row>
    <row r="75" spans="1:7" ht="17.45">
      <c r="A75" s="14" t="s">
        <v>126</v>
      </c>
      <c r="B75" s="14" t="s">
        <v>56</v>
      </c>
      <c r="C75" s="22">
        <v>8276</v>
      </c>
      <c r="D75" s="22">
        <v>0</v>
      </c>
      <c r="E75" s="15">
        <v>0</v>
      </c>
      <c r="F75" s="22">
        <v>8276</v>
      </c>
      <c r="G75" s="15">
        <v>1</v>
      </c>
    </row>
    <row r="76" spans="1:7" ht="17.45">
      <c r="A76" s="14" t="s">
        <v>126</v>
      </c>
      <c r="B76" s="14" t="s">
        <v>118</v>
      </c>
      <c r="C76" s="22">
        <v>1265</v>
      </c>
      <c r="D76" s="22">
        <v>0</v>
      </c>
      <c r="E76" s="15">
        <v>0</v>
      </c>
      <c r="F76" s="22">
        <v>1265</v>
      </c>
      <c r="G76" s="15">
        <v>1</v>
      </c>
    </row>
    <row r="77" spans="1:7" ht="17.45">
      <c r="A77" s="14" t="s">
        <v>126</v>
      </c>
      <c r="B77" s="14" t="s">
        <v>112</v>
      </c>
      <c r="C77" s="22">
        <v>2232</v>
      </c>
      <c r="D77" s="22">
        <v>67.482066000000032</v>
      </c>
      <c r="E77" s="15">
        <v>3.0233900537634417E-2</v>
      </c>
      <c r="F77" s="22">
        <v>2164.517934</v>
      </c>
      <c r="G77" s="15">
        <v>0.96976609946236558</v>
      </c>
    </row>
    <row r="78" spans="1:7" ht="17.45">
      <c r="A78" s="14" t="s">
        <v>127</v>
      </c>
      <c r="B78" s="14" t="s">
        <v>112</v>
      </c>
      <c r="C78" s="22">
        <v>16290</v>
      </c>
      <c r="D78" s="22">
        <v>9495.0759150000013</v>
      </c>
      <c r="E78" s="15">
        <v>0.58287758839779014</v>
      </c>
      <c r="F78" s="22">
        <v>6794.9240849999996</v>
      </c>
      <c r="G78" s="15">
        <v>0.41712241160220992</v>
      </c>
    </row>
    <row r="79" spans="1:7" ht="17.45">
      <c r="A79" s="14" t="s">
        <v>127</v>
      </c>
      <c r="B79" s="14" t="s">
        <v>110</v>
      </c>
      <c r="C79" s="22">
        <v>2051</v>
      </c>
      <c r="D79" s="22">
        <v>192.90645999999992</v>
      </c>
      <c r="E79" s="15">
        <v>9.4054831789371018E-2</v>
      </c>
      <c r="F79" s="22">
        <v>1858.0935400000001</v>
      </c>
      <c r="G79" s="15">
        <v>0.90594516821062898</v>
      </c>
    </row>
    <row r="80" spans="1:7" ht="17.45">
      <c r="A80" s="14" t="s">
        <v>127</v>
      </c>
      <c r="B80" s="14" t="s">
        <v>56</v>
      </c>
      <c r="C80" s="22">
        <v>4682</v>
      </c>
      <c r="D80" s="22">
        <v>1.5540820000005624</v>
      </c>
      <c r="E80" s="15">
        <v>3.3192695429318242E-4</v>
      </c>
      <c r="F80" s="22">
        <v>4680.4459179999994</v>
      </c>
      <c r="G80" s="15">
        <v>0.99966807304570682</v>
      </c>
    </row>
    <row r="81" spans="1:7" ht="17.45">
      <c r="A81" s="14" t="s">
        <v>127</v>
      </c>
      <c r="B81" s="14" t="s">
        <v>118</v>
      </c>
      <c r="C81" s="22">
        <v>4938</v>
      </c>
      <c r="D81" s="22">
        <v>787.51380299999983</v>
      </c>
      <c r="E81" s="15">
        <v>0.15948031652490879</v>
      </c>
      <c r="F81" s="22">
        <v>4150.4861970000002</v>
      </c>
      <c r="G81" s="15">
        <v>0.84051968347509121</v>
      </c>
    </row>
    <row r="82" spans="1:7" ht="17.45">
      <c r="A82" s="14" t="s">
        <v>102</v>
      </c>
      <c r="B82" s="14" t="s">
        <v>112</v>
      </c>
      <c r="C82" s="22">
        <v>22820</v>
      </c>
      <c r="D82" s="22">
        <v>9047.3539010000004</v>
      </c>
      <c r="E82" s="15">
        <v>0.39646599040315511</v>
      </c>
      <c r="F82" s="22">
        <v>13772.646099</v>
      </c>
      <c r="G82" s="15">
        <v>0.60353400959684489</v>
      </c>
    </row>
    <row r="83" spans="1:7" ht="17.45">
      <c r="A83" s="14" t="s">
        <v>102</v>
      </c>
      <c r="B83" s="14" t="s">
        <v>110</v>
      </c>
      <c r="C83" s="22">
        <v>5860</v>
      </c>
      <c r="D83" s="22">
        <v>2773.4664120000002</v>
      </c>
      <c r="E83" s="15">
        <v>0.47328778361774748</v>
      </c>
      <c r="F83" s="22">
        <v>3086.5335879999998</v>
      </c>
      <c r="G83" s="15">
        <v>0.52671221638225252</v>
      </c>
    </row>
    <row r="84" spans="1:7" ht="17.45">
      <c r="A84" s="14" t="s">
        <v>102</v>
      </c>
      <c r="B84" s="14" t="s">
        <v>63</v>
      </c>
      <c r="C84" s="22">
        <v>11140</v>
      </c>
      <c r="D84" s="22">
        <v>9017.3673879999988</v>
      </c>
      <c r="E84" s="15">
        <v>0.80945847289048467</v>
      </c>
      <c r="F84" s="22">
        <v>2122.6326120000003</v>
      </c>
      <c r="G84" s="15">
        <v>0.1905415271095153</v>
      </c>
    </row>
    <row r="85" spans="1:7" ht="17.45">
      <c r="A85" s="14" t="s">
        <v>102</v>
      </c>
      <c r="B85" s="14" t="s">
        <v>111</v>
      </c>
      <c r="C85" s="22">
        <v>15335</v>
      </c>
      <c r="D85" s="22">
        <v>6181.6406709999992</v>
      </c>
      <c r="E85" s="15">
        <v>0.4031066626018911</v>
      </c>
      <c r="F85" s="22">
        <v>9153.3593290000008</v>
      </c>
      <c r="G85" s="15">
        <v>0.5968933373981089</v>
      </c>
    </row>
    <row r="86" spans="1:7" ht="17.45">
      <c r="A86" s="14" t="s">
        <v>102</v>
      </c>
      <c r="B86" s="14" t="s">
        <v>93</v>
      </c>
      <c r="C86" s="22">
        <v>10118</v>
      </c>
      <c r="D86" s="22">
        <v>2362.0201500000003</v>
      </c>
      <c r="E86" s="15">
        <v>0.23344733643012461</v>
      </c>
      <c r="F86" s="22">
        <v>7755.9798499999997</v>
      </c>
      <c r="G86" s="15">
        <v>0.76655266356987539</v>
      </c>
    </row>
  </sheetData>
  <sheetProtection sheet="1" selectLockedCells="1" sort="0" autoFilter="0" pivotTables="0"/>
  <protectedRanges>
    <protectedRange sqref="A15:G86" name="Range1"/>
  </protectedRanges>
  <mergeCells count="1">
    <mergeCell ref="E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Jonathon Green</dc:creator>
  <cp:keywords/>
  <dc:description/>
  <cp:lastModifiedBy>來賓使用者</cp:lastModifiedBy>
  <cp:revision/>
  <dcterms:created xsi:type="dcterms:W3CDTF">2015-06-05T18:17:20Z</dcterms:created>
  <dcterms:modified xsi:type="dcterms:W3CDTF">2026-01-15T12:16:33Z</dcterms:modified>
  <cp:category/>
  <cp:contentStatus/>
</cp:coreProperties>
</file>